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192.168.0.2\#Plumene\PLANILHAS E TABELAS DE PREÇO\2027\"/>
    </mc:Choice>
  </mc:AlternateContent>
  <bookViews>
    <workbookView showHorizontalScroll="0" showVerticalScroll="0" showSheetTabs="0" xWindow="0" yWindow="0" windowWidth="28800" windowHeight="12210"/>
  </bookViews>
  <sheets>
    <sheet name="Plan1" sheetId="2" r:id="rId1"/>
    <sheet name="Plan2" sheetId="3" r:id="rId2"/>
  </sheets>
  <definedNames>
    <definedName name="_xlnm._FilterDatabase" localSheetId="1" hidden="1">Plan2!$A$205:$F$352</definedName>
    <definedName name="_xlnm.Print_Area" localSheetId="0">Plan1!$A$1:$AB$50</definedName>
    <definedName name="try">Plan2!$A$1:$F$352</definedName>
  </definedNames>
  <calcPr calcId="162913"/>
</workbook>
</file>

<file path=xl/calcChain.xml><?xml version="1.0" encoding="utf-8"?>
<calcChain xmlns="http://schemas.openxmlformats.org/spreadsheetml/2006/main">
  <c r="Z14" i="2" l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13" i="2"/>
  <c r="AA14" i="2" l="1"/>
  <c r="AA41" i="2" l="1"/>
  <c r="AA42" i="2"/>
  <c r="AA43" i="2"/>
  <c r="AA44" i="2"/>
  <c r="AB44" i="2" l="1"/>
  <c r="AB43" i="2"/>
  <c r="AB42" i="2"/>
  <c r="AB41" i="2"/>
  <c r="AA15" i="2" l="1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B40" i="2" s="1"/>
  <c r="AB32" i="2" l="1"/>
  <c r="AB37" i="2"/>
  <c r="AB24" i="2"/>
  <c r="AB29" i="2"/>
  <c r="AB21" i="2"/>
  <c r="AB16" i="2"/>
  <c r="AB39" i="2"/>
  <c r="AB31" i="2"/>
  <c r="AB23" i="2"/>
  <c r="AB38" i="2"/>
  <c r="AB30" i="2"/>
  <c r="AB22" i="2"/>
  <c r="AB36" i="2"/>
  <c r="AB28" i="2"/>
  <c r="AB20" i="2"/>
  <c r="AB35" i="2"/>
  <c r="AB27" i="2"/>
  <c r="AB19" i="2"/>
  <c r="AB34" i="2"/>
  <c r="AB26" i="2"/>
  <c r="AB18" i="2"/>
  <c r="AB33" i="2"/>
  <c r="AB25" i="2"/>
  <c r="AB17" i="2"/>
  <c r="AB15" i="2"/>
  <c r="AB14" i="2"/>
  <c r="Z45" i="2"/>
  <c r="AA13" i="2"/>
  <c r="AB13" i="2" s="1"/>
  <c r="AB45" i="2" l="1"/>
  <c r="AB47" i="2" s="1"/>
  <c r="AB48" i="2" s="1"/>
</calcChain>
</file>

<file path=xl/sharedStrings.xml><?xml version="1.0" encoding="utf-8"?>
<sst xmlns="http://schemas.openxmlformats.org/spreadsheetml/2006/main" count="245" uniqueCount="219">
  <si>
    <t>P</t>
  </si>
  <si>
    <t>M</t>
  </si>
  <si>
    <t>G</t>
  </si>
  <si>
    <t>REF</t>
  </si>
  <si>
    <t>TOTAL</t>
  </si>
  <si>
    <t>FORMA  PGTO</t>
  </si>
  <si>
    <t>COND PGTO</t>
  </si>
  <si>
    <t>GG</t>
  </si>
  <si>
    <t>PP</t>
  </si>
  <si>
    <t>XG</t>
  </si>
  <si>
    <t>QUANT</t>
  </si>
  <si>
    <t>UNIT</t>
  </si>
  <si>
    <t>Total PÇ's</t>
  </si>
  <si>
    <t>OBSERVAÇÃO</t>
  </si>
  <si>
    <t>REPRESENTANTE :</t>
  </si>
  <si>
    <t>DATA :</t>
  </si>
  <si>
    <t>RAZÃO SOCIAL:</t>
  </si>
  <si>
    <t>ENDEREÇO:</t>
  </si>
  <si>
    <t>CIDADE:</t>
  </si>
  <si>
    <t>E-mail :</t>
  </si>
  <si>
    <t>CNPJ / CPF:</t>
  </si>
  <si>
    <t>CEP :</t>
  </si>
  <si>
    <t>TEL:</t>
  </si>
  <si>
    <t>UF:</t>
  </si>
  <si>
    <t xml:space="preserve">A VISTA </t>
  </si>
  <si>
    <t>CARTÃO</t>
  </si>
  <si>
    <t>BOLETO</t>
  </si>
  <si>
    <t>Inscrição Estadual:</t>
  </si>
  <si>
    <t>Bairro :</t>
  </si>
  <si>
    <t>Nome Fantasia:</t>
  </si>
  <si>
    <t xml:space="preserve">Nª PED </t>
  </si>
  <si>
    <t>CHEQUE</t>
  </si>
  <si>
    <t>30/60/90/120</t>
  </si>
  <si>
    <t>15/30</t>
  </si>
  <si>
    <t>A VISTA</t>
  </si>
  <si>
    <t>30/60</t>
  </si>
  <si>
    <t>20</t>
  </si>
  <si>
    <t>10</t>
  </si>
  <si>
    <t>28</t>
  </si>
  <si>
    <t>15/30/45</t>
  </si>
  <si>
    <t>30/45/60</t>
  </si>
  <si>
    <t>45</t>
  </si>
  <si>
    <t>Personalizada:</t>
  </si>
  <si>
    <t>Data da Entrega:</t>
  </si>
  <si>
    <t xml:space="preserve">FRETE </t>
  </si>
  <si>
    <t>COND DE PAGAMENTO</t>
  </si>
  <si>
    <t xml:space="preserve">(FOB) Pago p/ Cliente </t>
  </si>
  <si>
    <t>(CIF) Pago p/ Fábrica</t>
  </si>
  <si>
    <t>WhatsApp</t>
  </si>
  <si>
    <t>0015E</t>
  </si>
  <si>
    <t>0080E</t>
  </si>
  <si>
    <t>0085E</t>
  </si>
  <si>
    <t>0086E</t>
  </si>
  <si>
    <t>0087E</t>
  </si>
  <si>
    <t>0088E</t>
  </si>
  <si>
    <t>0090E</t>
  </si>
  <si>
    <t>0091E</t>
  </si>
  <si>
    <t>0092E</t>
  </si>
  <si>
    <t>0093E</t>
  </si>
  <si>
    <t>0094E</t>
  </si>
  <si>
    <t>0095E</t>
  </si>
  <si>
    <t>0096E</t>
  </si>
  <si>
    <t>0106E</t>
  </si>
  <si>
    <t>0109E</t>
  </si>
  <si>
    <t>0110E</t>
  </si>
  <si>
    <t>0111E</t>
  </si>
  <si>
    <t>0125E</t>
  </si>
  <si>
    <t>0126E</t>
  </si>
  <si>
    <t>0128E</t>
  </si>
  <si>
    <t>0129E</t>
  </si>
  <si>
    <t>0130E</t>
  </si>
  <si>
    <t>0131E</t>
  </si>
  <si>
    <t>0135E</t>
  </si>
  <si>
    <t>0140E</t>
  </si>
  <si>
    <t>0145E</t>
  </si>
  <si>
    <t>0159E</t>
  </si>
  <si>
    <t>0160E</t>
  </si>
  <si>
    <t>0161E</t>
  </si>
  <si>
    <t>0171E</t>
  </si>
  <si>
    <t>0172E</t>
  </si>
  <si>
    <t>0180E</t>
  </si>
  <si>
    <t>0199E</t>
  </si>
  <si>
    <t>0200E</t>
  </si>
  <si>
    <t>0216E</t>
  </si>
  <si>
    <t>0240E</t>
  </si>
  <si>
    <t>0245E</t>
  </si>
  <si>
    <t>0310E</t>
  </si>
  <si>
    <t>0316E</t>
  </si>
  <si>
    <t>0320E</t>
  </si>
  <si>
    <t>0321E</t>
  </si>
  <si>
    <t>0325E</t>
  </si>
  <si>
    <t>0327E</t>
  </si>
  <si>
    <t>0328E</t>
  </si>
  <si>
    <t>0329E</t>
  </si>
  <si>
    <t>0330E</t>
  </si>
  <si>
    <t>0350E</t>
  </si>
  <si>
    <t>0360E</t>
  </si>
  <si>
    <t>0380E</t>
  </si>
  <si>
    <t>0390E</t>
  </si>
  <si>
    <t>0395E</t>
  </si>
  <si>
    <t>0400E</t>
  </si>
  <si>
    <t>0405E</t>
  </si>
  <si>
    <t>0429E</t>
  </si>
  <si>
    <t>0430E</t>
  </si>
  <si>
    <t>0450E</t>
  </si>
  <si>
    <t>0499E</t>
  </si>
  <si>
    <t>0500E</t>
  </si>
  <si>
    <t>0502E</t>
  </si>
  <si>
    <t>0550E</t>
  </si>
  <si>
    <t>0570E</t>
  </si>
  <si>
    <t>0580E</t>
  </si>
  <si>
    <t>0581E</t>
  </si>
  <si>
    <t>0582E</t>
  </si>
  <si>
    <t>0590E</t>
  </si>
  <si>
    <t>0595E</t>
  </si>
  <si>
    <t>0600E</t>
  </si>
  <si>
    <t>0601E</t>
  </si>
  <si>
    <t>0605E</t>
  </si>
  <si>
    <t>0640E</t>
  </si>
  <si>
    <t>0650E</t>
  </si>
  <si>
    <t>0690E</t>
  </si>
  <si>
    <t>0710E</t>
  </si>
  <si>
    <t>0711E</t>
  </si>
  <si>
    <t>0720E</t>
  </si>
  <si>
    <t>0721E</t>
  </si>
  <si>
    <t>0730E</t>
  </si>
  <si>
    <t>0750E</t>
  </si>
  <si>
    <t>0760E</t>
  </si>
  <si>
    <t>0770E</t>
  </si>
  <si>
    <t>0800E</t>
  </si>
  <si>
    <t>0830E</t>
  </si>
  <si>
    <t>0841E</t>
  </si>
  <si>
    <t>0845E</t>
  </si>
  <si>
    <t>0852E</t>
  </si>
  <si>
    <t>0853E</t>
  </si>
  <si>
    <t>0854E</t>
  </si>
  <si>
    <t>0855E</t>
  </si>
  <si>
    <t>0870E</t>
  </si>
  <si>
    <t>0880E</t>
  </si>
  <si>
    <t>0901E</t>
  </si>
  <si>
    <t>0911E</t>
  </si>
  <si>
    <t>2013E</t>
  </si>
  <si>
    <t>2130E</t>
  </si>
  <si>
    <t>2131E</t>
  </si>
  <si>
    <t>2134E</t>
  </si>
  <si>
    <t>2226E</t>
  </si>
  <si>
    <t>4130E</t>
  </si>
  <si>
    <t>4131E</t>
  </si>
  <si>
    <t>Valor Parcial</t>
  </si>
  <si>
    <t>DESC  %</t>
  </si>
  <si>
    <t>R$</t>
  </si>
  <si>
    <t>*PROMOÇÃO*</t>
  </si>
  <si>
    <t>XG2</t>
  </si>
  <si>
    <t>XG3</t>
  </si>
  <si>
    <t>XG4</t>
  </si>
  <si>
    <t>PLUS</t>
  </si>
  <si>
    <t>JUVENIL</t>
  </si>
  <si>
    <t>INFANTIL / ADULTO</t>
  </si>
  <si>
    <t>TAMANHOS</t>
  </si>
  <si>
    <t>Contato:</t>
  </si>
  <si>
    <t>44/46</t>
  </si>
  <si>
    <t>PEDIDO - PLUMENE</t>
  </si>
  <si>
    <t>2201X</t>
  </si>
  <si>
    <t>2204X</t>
  </si>
  <si>
    <t>2205X</t>
  </si>
  <si>
    <t>2207X</t>
  </si>
  <si>
    <t>2208X</t>
  </si>
  <si>
    <t>2213X</t>
  </si>
  <si>
    <t>2215X</t>
  </si>
  <si>
    <t>2216X</t>
  </si>
  <si>
    <t>2217X</t>
  </si>
  <si>
    <t>2230X</t>
  </si>
  <si>
    <t>2232X</t>
  </si>
  <si>
    <t>2233X</t>
  </si>
  <si>
    <t>2234X</t>
  </si>
  <si>
    <t>2240X</t>
  </si>
  <si>
    <t>2244X</t>
  </si>
  <si>
    <t>2245X</t>
  </si>
  <si>
    <t>2246X</t>
  </si>
  <si>
    <t>2254X</t>
  </si>
  <si>
    <t>2265X</t>
  </si>
  <si>
    <t>2267X</t>
  </si>
  <si>
    <t>2270X</t>
  </si>
  <si>
    <t>2271X</t>
  </si>
  <si>
    <t>2278X</t>
  </si>
  <si>
    <t>2279X</t>
  </si>
  <si>
    <t>2280X</t>
  </si>
  <si>
    <t>2281X</t>
  </si>
  <si>
    <t>2284X</t>
  </si>
  <si>
    <t>2285X</t>
  </si>
  <si>
    <t>2286X</t>
  </si>
  <si>
    <t>2287X</t>
  </si>
  <si>
    <t>2288X</t>
  </si>
  <si>
    <t>2289X</t>
  </si>
  <si>
    <t>2290X</t>
  </si>
  <si>
    <t>2291X</t>
  </si>
  <si>
    <t>2292X</t>
  </si>
  <si>
    <t>2294X</t>
  </si>
  <si>
    <t>2295X</t>
  </si>
  <si>
    <t>2296X</t>
  </si>
  <si>
    <t>22102X</t>
  </si>
  <si>
    <t>22103X</t>
  </si>
  <si>
    <t>22105X</t>
  </si>
  <si>
    <t>22106X</t>
  </si>
  <si>
    <t>22107X</t>
  </si>
  <si>
    <t>22108X</t>
  </si>
  <si>
    <t>22115X</t>
  </si>
  <si>
    <t>22116X</t>
  </si>
  <si>
    <t>22125X</t>
  </si>
  <si>
    <t>22129X</t>
  </si>
  <si>
    <t>22133X</t>
  </si>
  <si>
    <t>22147X</t>
  </si>
  <si>
    <t>22170X</t>
  </si>
  <si>
    <t>22171X</t>
  </si>
  <si>
    <t>22172X</t>
  </si>
  <si>
    <t>22173X</t>
  </si>
  <si>
    <t>22189X</t>
  </si>
  <si>
    <t>22199X</t>
  </si>
  <si>
    <t>VAREJO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</si>
</sst>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000000000\-00"/>
    <numFmt numFmtId="166" formatCode="00000\-000"/>
    <numFmt numFmtId="167" formatCode="000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2"/>
      <color rgb="FF002060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name val="Arial"/>
      <family val="2"/>
    </font>
    <font>
      <b/>
      <sz val="11"/>
      <color rgb="FF000000"/>
      <name val="Arial"/>
      <family val="2"/>
    </font>
    <font>
      <sz val="11"/>
      <color theme="2" tint="-0.749992370372631"/>
      <name val="Verdana"/>
      <family val="2"/>
    </font>
    <font>
      <sz val="11"/>
      <color theme="1" tint="0.14999847407452621"/>
      <name val="Verdana"/>
      <family val="2"/>
    </font>
    <font>
      <sz val="10"/>
      <color indexed="1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5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2" fillId="0" borderId="0"/>
    <xf numFmtId="0" fontId="11" fillId="0" borderId="0" applyNumberFormat="0" applyFill="0" applyBorder="0" applyAlignment="0" applyProtection="0"/>
    <xf numFmtId="44" fontId="13" fillId="0" borderId="0" applyFont="0" applyFill="0" applyBorder="0" applyAlignment="0" applyProtection="0"/>
    <xf numFmtId="0" fontId="1" fillId="4" borderId="0" applyNumberFormat="0" applyBorder="0" applyAlignment="0" applyProtection="0"/>
    <xf numFmtId="44" fontId="3" fillId="0" borderId="0" applyFont="0" applyFill="0" applyBorder="0" applyAlignment="0" applyProtection="0"/>
  </cellStyleXfs>
  <cellXfs count="172">
    <xf numFmtId="0" fontId="0" fillId="0" borderId="0" xfId="0"/>
    <xf numFmtId="0" fontId="5" fillId="0" borderId="0" xfId="0" applyFont="1"/>
    <xf numFmtId="0" fontId="7" fillId="0" borderId="0" xfId="0" applyFont="1"/>
    <xf numFmtId="0" fontId="12" fillId="0" borderId="0" xfId="0" applyFont="1"/>
    <xf numFmtId="0" fontId="3" fillId="0" borderId="0" xfId="0" applyFont="1"/>
    <xf numFmtId="0" fontId="6" fillId="0" borderId="0" xfId="0" applyFont="1"/>
    <xf numFmtId="0" fontId="3" fillId="0" borderId="0" xfId="0" quotePrefix="1" applyFont="1"/>
    <xf numFmtId="167" fontId="4" fillId="0" borderId="1" xfId="0" applyNumberFormat="1" applyFont="1" applyBorder="1" applyAlignment="1">
      <alignment horizontal="center"/>
    </xf>
    <xf numFmtId="167" fontId="4" fillId="0" borderId="1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4" xfId="0" applyNumberFormat="1" applyFont="1" applyBorder="1" applyAlignment="1">
      <alignment horizontal="center"/>
    </xf>
    <xf numFmtId="167" fontId="4" fillId="0" borderId="5" xfId="0" applyNumberFormat="1" applyFont="1" applyBorder="1" applyAlignment="1">
      <alignment horizontal="center"/>
    </xf>
    <xf numFmtId="167" fontId="4" fillId="0" borderId="3" xfId="0" applyNumberFormat="1" applyFont="1" applyBorder="1" applyAlignment="1">
      <alignment horizontal="center"/>
    </xf>
    <xf numFmtId="167" fontId="4" fillId="0" borderId="3" xfId="0" applyNumberFormat="1" applyFont="1" applyFill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6" fillId="0" borderId="23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wrapText="1"/>
      <protection locked="0"/>
    </xf>
    <xf numFmtId="0" fontId="6" fillId="0" borderId="22" xfId="0" applyFont="1" applyBorder="1" applyAlignment="1" applyProtection="1">
      <alignment horizontal="center" vertical="center"/>
      <protection locked="0"/>
    </xf>
    <xf numFmtId="0" fontId="6" fillId="3" borderId="22" xfId="0" applyFont="1" applyFill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center"/>
      <protection locked="0"/>
    </xf>
    <xf numFmtId="4" fontId="3" fillId="0" borderId="0" xfId="0" applyNumberFormat="1" applyFont="1" applyBorder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6" fillId="0" borderId="22" xfId="0" applyFont="1" applyBorder="1" applyAlignment="1" applyProtection="1">
      <alignment vertical="center"/>
    </xf>
    <xf numFmtId="0" fontId="8" fillId="0" borderId="13" xfId="0" applyFont="1" applyFill="1" applyBorder="1" applyAlignment="1" applyProtection="1">
      <alignment horizontal="center"/>
    </xf>
    <xf numFmtId="44" fontId="3" fillId="0" borderId="1" xfId="3" applyFont="1" applyFill="1" applyBorder="1" applyProtection="1"/>
    <xf numFmtId="44" fontId="6" fillId="0" borderId="6" xfId="3" applyFont="1" applyFill="1" applyBorder="1" applyProtection="1"/>
    <xf numFmtId="0" fontId="0" fillId="0" borderId="13" xfId="0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right"/>
    </xf>
    <xf numFmtId="164" fontId="3" fillId="0" borderId="27" xfId="0" applyNumberFormat="1" applyFont="1" applyFill="1" applyBorder="1" applyProtection="1"/>
    <xf numFmtId="164" fontId="8" fillId="0" borderId="7" xfId="0" applyNumberFormat="1" applyFont="1" applyFill="1" applyBorder="1" applyAlignment="1" applyProtection="1">
      <alignment horizontal="center"/>
    </xf>
    <xf numFmtId="0" fontId="8" fillId="0" borderId="3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0" borderId="6" xfId="0" applyFont="1" applyFill="1" applyBorder="1" applyAlignment="1" applyProtection="1">
      <alignment horizontal="center" vertical="center"/>
      <protection locked="0"/>
    </xf>
    <xf numFmtId="0" fontId="4" fillId="2" borderId="30" xfId="0" applyFont="1" applyFill="1" applyBorder="1" applyAlignment="1" applyProtection="1">
      <alignment horizontal="center" vertical="center"/>
      <protection locked="0"/>
    </xf>
    <xf numFmtId="0" fontId="4" fillId="0" borderId="31" xfId="0" applyFont="1" applyFill="1" applyBorder="1" applyAlignment="1" applyProtection="1">
      <alignment horizontal="center" vertical="center"/>
      <protection locked="0"/>
    </xf>
    <xf numFmtId="0" fontId="8" fillId="0" borderId="28" xfId="0" applyFont="1" applyFill="1" applyBorder="1" applyAlignment="1" applyProtection="1">
      <alignment horizontal="center"/>
    </xf>
    <xf numFmtId="164" fontId="8" fillId="0" borderId="29" xfId="0" applyNumberFormat="1" applyFont="1" applyFill="1" applyBorder="1" applyAlignment="1" applyProtection="1">
      <alignment horizontal="center"/>
    </xf>
    <xf numFmtId="44" fontId="3" fillId="0" borderId="30" xfId="3" applyFont="1" applyFill="1" applyBorder="1" applyProtection="1"/>
    <xf numFmtId="44" fontId="6" fillId="0" borderId="31" xfId="3" applyFont="1" applyFill="1" applyBorder="1" applyProtection="1"/>
    <xf numFmtId="0" fontId="4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center"/>
    </xf>
    <xf numFmtId="164" fontId="8" fillId="0" borderId="1" xfId="0" applyNumberFormat="1" applyFont="1" applyFill="1" applyBorder="1" applyAlignment="1" applyProtection="1">
      <alignment horizontal="center"/>
    </xf>
    <xf numFmtId="0" fontId="4" fillId="0" borderId="34" xfId="0" applyFont="1" applyFill="1" applyBorder="1" applyAlignment="1" applyProtection="1">
      <alignment horizontal="center" vertical="center"/>
      <protection locked="0"/>
    </xf>
    <xf numFmtId="0" fontId="4" fillId="0" borderId="2" xfId="0" applyFont="1" applyFill="1" applyBorder="1" applyAlignment="1" applyProtection="1">
      <alignment horizontal="center" vertical="center"/>
      <protection locked="0"/>
    </xf>
    <xf numFmtId="0" fontId="4" fillId="0" borderId="35" xfId="0" applyFont="1" applyFill="1" applyBorder="1" applyAlignment="1" applyProtection="1">
      <alignment horizontal="center" vertical="center"/>
      <protection locked="0"/>
    </xf>
    <xf numFmtId="164" fontId="8" fillId="0" borderId="36" xfId="0" applyNumberFormat="1" applyFont="1" applyFill="1" applyBorder="1" applyAlignment="1" applyProtection="1">
      <alignment horizontal="center"/>
    </xf>
    <xf numFmtId="44" fontId="3" fillId="0" borderId="35" xfId="3" applyFont="1" applyFill="1" applyBorder="1" applyProtection="1"/>
    <xf numFmtId="44" fontId="6" fillId="0" borderId="37" xfId="3" applyFont="1" applyFill="1" applyBorder="1" applyProtection="1"/>
    <xf numFmtId="0" fontId="6" fillId="0" borderId="11" xfId="0" applyFont="1" applyFill="1" applyBorder="1" applyAlignment="1" applyProtection="1">
      <alignment horizontal="center" vertical="center"/>
    </xf>
    <xf numFmtId="44" fontId="6" fillId="0" borderId="11" xfId="3" applyFont="1" applyFill="1" applyBorder="1" applyAlignment="1" applyProtection="1">
      <alignment horizontal="right" vertical="center"/>
    </xf>
    <xf numFmtId="4" fontId="3" fillId="0" borderId="21" xfId="0" applyNumberFormat="1" applyFont="1" applyBorder="1" applyProtection="1">
      <protection locked="0"/>
    </xf>
    <xf numFmtId="4" fontId="3" fillId="0" borderId="27" xfId="0" applyNumberFormat="1" applyFont="1" applyFill="1" applyBorder="1" applyAlignment="1" applyProtection="1">
      <alignment horizontal="right" vertical="center"/>
    </xf>
    <xf numFmtId="4" fontId="3" fillId="0" borderId="11" xfId="0" applyNumberFormat="1" applyFont="1" applyFill="1" applyBorder="1" applyAlignment="1" applyProtection="1">
      <alignment vertical="center"/>
    </xf>
    <xf numFmtId="0" fontId="6" fillId="0" borderId="23" xfId="0" applyFont="1" applyBorder="1" applyAlignment="1" applyProtection="1">
      <alignment vertical="center"/>
    </xf>
    <xf numFmtId="0" fontId="8" fillId="0" borderId="0" xfId="0" applyFont="1" applyBorder="1" applyAlignment="1">
      <alignment vertical="center"/>
    </xf>
    <xf numFmtId="0" fontId="8" fillId="0" borderId="0" xfId="0" applyFont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0" xfId="0" applyFont="1" applyBorder="1"/>
    <xf numFmtId="0" fontId="7" fillId="0" borderId="0" xfId="0" applyFont="1" applyFill="1" applyBorder="1"/>
    <xf numFmtId="0" fontId="12" fillId="0" borderId="0" xfId="0" applyFont="1" applyBorder="1"/>
    <xf numFmtId="0" fontId="8" fillId="0" borderId="28" xfId="0" applyFont="1" applyBorder="1" applyAlignment="1">
      <alignment vertical="center"/>
    </xf>
    <xf numFmtId="0" fontId="8" fillId="0" borderId="3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1" fillId="4" borderId="23" xfId="4" applyBorder="1" applyAlignment="1" applyProtection="1">
      <alignment vertical="center"/>
      <protection locked="0"/>
    </xf>
    <xf numFmtId="4" fontId="1" fillId="4" borderId="16" xfId="4" applyNumberFormat="1" applyBorder="1" applyAlignment="1" applyProtection="1">
      <alignment vertical="center"/>
    </xf>
    <xf numFmtId="9" fontId="1" fillId="4" borderId="11" xfId="4" applyNumberFormat="1" applyBorder="1" applyAlignment="1" applyProtection="1">
      <alignment horizontal="right" vertical="center"/>
      <protection locked="0"/>
    </xf>
    <xf numFmtId="0" fontId="20" fillId="0" borderId="43" xfId="0" applyFont="1" applyBorder="1" applyProtection="1">
      <protection locked="0"/>
    </xf>
    <xf numFmtId="0" fontId="20" fillId="0" borderId="0" xfId="0" applyFont="1" applyProtection="1">
      <protection locked="0"/>
    </xf>
    <xf numFmtId="166" fontId="18" fillId="4" borderId="0" xfId="4" applyNumberFormat="1" applyFont="1" applyBorder="1" applyAlignment="1" applyProtection="1">
      <alignment horizontal="center" vertical="center"/>
      <protection locked="0"/>
    </xf>
    <xf numFmtId="0" fontId="6" fillId="0" borderId="0" xfId="0" applyFont="1" applyProtection="1">
      <protection locked="0"/>
    </xf>
    <xf numFmtId="0" fontId="21" fillId="0" borderId="0" xfId="0" applyFont="1" applyAlignment="1" applyProtection="1">
      <alignment wrapText="1"/>
      <protection locked="0"/>
    </xf>
    <xf numFmtId="167" fontId="10" fillId="0" borderId="1" xfId="0" applyNumberFormat="1" applyFont="1" applyFill="1" applyBorder="1" applyAlignment="1">
      <alignment horizontal="center" vertical="center"/>
    </xf>
    <xf numFmtId="0" fontId="16" fillId="0" borderId="3" xfId="0" applyFont="1" applyBorder="1" applyAlignment="1">
      <alignment vertical="center"/>
    </xf>
    <xf numFmtId="3" fontId="18" fillId="4" borderId="1" xfId="4" applyNumberFormat="1" applyFont="1" applyBorder="1" applyAlignment="1" applyProtection="1">
      <alignment horizontal="center" vertical="center"/>
    </xf>
    <xf numFmtId="3" fontId="18" fillId="4" borderId="1" xfId="4" applyNumberFormat="1" applyFont="1" applyBorder="1" applyAlignment="1" applyProtection="1">
      <alignment horizontal="center" vertical="center"/>
      <protection locked="0"/>
    </xf>
    <xf numFmtId="0" fontId="18" fillId="4" borderId="1" xfId="4" applyFont="1" applyBorder="1" applyAlignment="1" applyProtection="1">
      <alignment horizontal="center" vertical="center"/>
    </xf>
    <xf numFmtId="0" fontId="18" fillId="4" borderId="1" xfId="4" applyFont="1" applyBorder="1" applyAlignment="1" applyProtection="1">
      <alignment horizontal="center"/>
    </xf>
    <xf numFmtId="3" fontId="18" fillId="4" borderId="1" xfId="4" applyNumberFormat="1" applyFont="1" applyBorder="1" applyAlignment="1" applyProtection="1">
      <alignment vertical="center"/>
      <protection locked="0"/>
    </xf>
    <xf numFmtId="167" fontId="10" fillId="0" borderId="1" xfId="0" applyNumberFormat="1" applyFont="1" applyBorder="1" applyAlignment="1">
      <alignment horizontal="center"/>
    </xf>
    <xf numFmtId="0" fontId="22" fillId="3" borderId="1" xfId="0" applyNumberFormat="1" applyFont="1" applyFill="1" applyBorder="1" applyAlignment="1">
      <alignment horizontal="center"/>
    </xf>
    <xf numFmtId="0" fontId="3" fillId="0" borderId="21" xfId="0" applyNumberFormat="1" applyFont="1" applyBorder="1" applyAlignment="1">
      <alignment vertical="center"/>
    </xf>
    <xf numFmtId="0" fontId="3" fillId="0" borderId="20" xfId="0" applyNumberFormat="1" applyFont="1" applyBorder="1" applyAlignment="1">
      <alignment vertical="center"/>
    </xf>
    <xf numFmtId="0" fontId="3" fillId="0" borderId="0" xfId="0" applyNumberFormat="1" applyFont="1" applyAlignment="1">
      <alignment horizontal="center"/>
    </xf>
    <xf numFmtId="167" fontId="18" fillId="4" borderId="1" xfId="4" applyNumberFormat="1" applyFont="1" applyBorder="1" applyAlignment="1" applyProtection="1">
      <alignment horizontal="center" vertical="center"/>
      <protection locked="0"/>
    </xf>
    <xf numFmtId="167" fontId="18" fillId="4" borderId="5" xfId="4" applyNumberFormat="1" applyFont="1" applyBorder="1" applyAlignment="1" applyProtection="1">
      <alignment horizontal="center" vertical="center"/>
      <protection locked="0"/>
    </xf>
    <xf numFmtId="167" fontId="18" fillId="4" borderId="3" xfId="4" applyNumberFormat="1" applyFont="1" applyBorder="1" applyAlignment="1" applyProtection="1">
      <alignment horizontal="center" vertical="center"/>
      <protection locked="0"/>
    </xf>
    <xf numFmtId="167" fontId="18" fillId="4" borderId="35" xfId="4" applyNumberFormat="1" applyFont="1" applyBorder="1" applyAlignment="1" applyProtection="1">
      <alignment horizontal="center" vertical="center"/>
      <protection locked="0"/>
    </xf>
    <xf numFmtId="44" fontId="23" fillId="0" borderId="1" xfId="5" applyFont="1" applyFill="1" applyBorder="1" applyAlignment="1">
      <alignment vertical="center"/>
    </xf>
    <xf numFmtId="0" fontId="24" fillId="0" borderId="0" xfId="0" applyFont="1" applyAlignment="1">
      <alignment horizontal="center" vertical="center"/>
    </xf>
    <xf numFmtId="0" fontId="17" fillId="3" borderId="1" xfId="0" applyFont="1" applyFill="1" applyBorder="1" applyAlignment="1" applyProtection="1">
      <alignment horizontal="center" vertical="center"/>
      <protection locked="0"/>
    </xf>
    <xf numFmtId="0" fontId="18" fillId="4" borderId="1" xfId="4" applyFont="1" applyBorder="1" applyAlignment="1" applyProtection="1">
      <alignment horizontal="center"/>
    </xf>
    <xf numFmtId="0" fontId="17" fillId="3" borderId="35" xfId="0" applyFont="1" applyFill="1" applyBorder="1" applyAlignment="1" applyProtection="1">
      <alignment horizontal="center" vertical="center"/>
      <protection locked="0"/>
    </xf>
    <xf numFmtId="0" fontId="6" fillId="0" borderId="24" xfId="0" applyFont="1" applyBorder="1" applyAlignment="1" applyProtection="1">
      <alignment horizontal="center" vertical="center"/>
    </xf>
    <xf numFmtId="0" fontId="6" fillId="0" borderId="26" xfId="0" applyFont="1" applyBorder="1" applyAlignment="1" applyProtection="1">
      <alignment horizontal="center" vertical="center"/>
    </xf>
    <xf numFmtId="0" fontId="6" fillId="0" borderId="25" xfId="0" applyFont="1" applyBorder="1" applyAlignment="1" applyProtection="1">
      <alignment horizontal="center" vertical="center"/>
    </xf>
    <xf numFmtId="0" fontId="3" fillId="0" borderId="24" xfId="0" applyFont="1" applyBorder="1" applyAlignment="1" applyProtection="1">
      <alignment horizontal="center" vertical="center"/>
      <protection locked="0"/>
    </xf>
    <xf numFmtId="0" fontId="3" fillId="0" borderId="26" xfId="0" applyFont="1" applyBorder="1" applyAlignment="1" applyProtection="1">
      <alignment horizontal="center" vertical="center"/>
      <protection locked="0"/>
    </xf>
    <xf numFmtId="0" fontId="3" fillId="0" borderId="25" xfId="0" applyFont="1" applyBorder="1" applyAlignment="1" applyProtection="1">
      <alignment horizontal="center" vertical="center"/>
      <protection locked="0"/>
    </xf>
    <xf numFmtId="0" fontId="6" fillId="0" borderId="24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19" fillId="4" borderId="41" xfId="4" applyFont="1" applyBorder="1" applyAlignment="1" applyProtection="1">
      <alignment horizontal="center" vertical="center"/>
    </xf>
    <xf numFmtId="0" fontId="19" fillId="4" borderId="42" xfId="4" applyFont="1" applyBorder="1" applyAlignment="1" applyProtection="1">
      <alignment horizontal="center" vertical="center"/>
    </xf>
    <xf numFmtId="0" fontId="6" fillId="0" borderId="22" xfId="0" applyFont="1" applyBorder="1" applyAlignment="1" applyProtection="1">
      <alignment horizontal="left" vertical="center"/>
    </xf>
    <xf numFmtId="0" fontId="6" fillId="0" borderId="24" xfId="0" applyFont="1" applyBorder="1" applyAlignment="1" applyProtection="1">
      <alignment horizontal="left" vertical="center"/>
    </xf>
    <xf numFmtId="0" fontId="6" fillId="0" borderId="25" xfId="0" applyFont="1" applyBorder="1" applyAlignment="1" applyProtection="1">
      <alignment horizontal="left" vertical="center"/>
    </xf>
    <xf numFmtId="0" fontId="6" fillId="0" borderId="22" xfId="0" applyFont="1" applyBorder="1" applyAlignment="1" applyProtection="1">
      <alignment horizontal="left" vertical="center"/>
      <protection locked="0"/>
    </xf>
    <xf numFmtId="0" fontId="3" fillId="0" borderId="22" xfId="0" applyFont="1" applyBorder="1" applyAlignment="1" applyProtection="1">
      <alignment horizontal="left" vertical="center"/>
      <protection locked="0"/>
    </xf>
    <xf numFmtId="14" fontId="6" fillId="0" borderId="38" xfId="0" applyNumberFormat="1" applyFont="1" applyBorder="1" applyAlignment="1" applyProtection="1">
      <alignment horizontal="center" vertical="center"/>
      <protection locked="0"/>
    </xf>
    <xf numFmtId="0" fontId="6" fillId="0" borderId="39" xfId="0" applyFont="1" applyBorder="1" applyAlignment="1" applyProtection="1">
      <alignment horizontal="center" vertical="center"/>
      <protection locked="0"/>
    </xf>
    <xf numFmtId="0" fontId="6" fillId="0" borderId="40" xfId="0" applyFont="1" applyBorder="1" applyAlignment="1" applyProtection="1">
      <alignment horizontal="center" vertical="center"/>
      <protection locked="0"/>
    </xf>
    <xf numFmtId="0" fontId="6" fillId="0" borderId="38" xfId="0" applyFont="1" applyBorder="1" applyAlignment="1" applyProtection="1">
      <alignment horizontal="center" vertical="center"/>
    </xf>
    <xf numFmtId="0" fontId="6" fillId="0" borderId="39" xfId="0" applyFont="1" applyBorder="1" applyAlignment="1" applyProtection="1">
      <alignment horizontal="center" vertical="center"/>
    </xf>
    <xf numFmtId="0" fontId="6" fillId="0" borderId="40" xfId="0" applyFont="1" applyBorder="1" applyAlignment="1" applyProtection="1">
      <alignment horizontal="center" vertical="center"/>
    </xf>
    <xf numFmtId="0" fontId="6" fillId="0" borderId="23" xfId="0" applyFont="1" applyBorder="1" applyAlignment="1" applyProtection="1">
      <alignment horizontal="center" vertical="center"/>
      <protection locked="0"/>
    </xf>
    <xf numFmtId="166" fontId="14" fillId="0" borderId="24" xfId="0" applyNumberFormat="1" applyFont="1" applyBorder="1" applyAlignment="1" applyProtection="1">
      <alignment horizontal="center" vertical="center"/>
    </xf>
    <xf numFmtId="166" fontId="14" fillId="0" borderId="25" xfId="0" applyNumberFormat="1" applyFont="1" applyBorder="1" applyAlignment="1" applyProtection="1">
      <alignment horizontal="center" vertical="center"/>
    </xf>
    <xf numFmtId="0" fontId="3" fillId="0" borderId="15" xfId="0" applyFont="1" applyFill="1" applyBorder="1" applyAlignment="1" applyProtection="1">
      <alignment horizontal="center"/>
    </xf>
    <xf numFmtId="0" fontId="3" fillId="0" borderId="10" xfId="0" applyFont="1" applyFill="1" applyBorder="1" applyAlignment="1" applyProtection="1">
      <alignment horizontal="center"/>
    </xf>
    <xf numFmtId="0" fontId="3" fillId="0" borderId="10" xfId="0" applyFont="1" applyFill="1" applyBorder="1" applyAlignment="1" applyProtection="1">
      <alignment horizontal="left"/>
      <protection locked="0"/>
    </xf>
    <xf numFmtId="0" fontId="7" fillId="0" borderId="10" xfId="0" applyFont="1" applyFill="1" applyBorder="1" applyAlignment="1" applyProtection="1">
      <alignment horizontal="left"/>
      <protection locked="0"/>
    </xf>
    <xf numFmtId="0" fontId="7" fillId="0" borderId="12" xfId="0" applyFont="1" applyFill="1" applyBorder="1" applyAlignment="1" applyProtection="1">
      <alignment horizontal="left"/>
      <protection locked="0"/>
    </xf>
    <xf numFmtId="0" fontId="6" fillId="0" borderId="21" xfId="0" applyFont="1" applyFill="1" applyBorder="1" applyAlignment="1" applyProtection="1">
      <alignment horizontal="left" vertical="top" wrapText="1"/>
      <protection locked="0"/>
    </xf>
    <xf numFmtId="0" fontId="6" fillId="0" borderId="0" xfId="0" applyFont="1" applyFill="1" applyBorder="1" applyAlignment="1" applyProtection="1">
      <alignment horizontal="left" vertical="top" wrapText="1"/>
      <protection locked="0"/>
    </xf>
    <xf numFmtId="0" fontId="6" fillId="0" borderId="17" xfId="0" applyFont="1" applyFill="1" applyBorder="1" applyAlignment="1" applyProtection="1">
      <alignment horizontal="left" vertical="top" wrapText="1"/>
      <protection locked="0"/>
    </xf>
    <xf numFmtId="0" fontId="6" fillId="0" borderId="9" xfId="0" applyFont="1" applyFill="1" applyBorder="1" applyAlignment="1" applyProtection="1">
      <alignment horizontal="left" vertical="top" wrapText="1"/>
      <protection locked="0"/>
    </xf>
    <xf numFmtId="0" fontId="6" fillId="0" borderId="14" xfId="0" applyFont="1" applyFill="1" applyBorder="1" applyAlignment="1" applyProtection="1">
      <alignment horizontal="left" vertical="top" wrapText="1"/>
      <protection locked="0"/>
    </xf>
    <xf numFmtId="0" fontId="6" fillId="0" borderId="20" xfId="0" applyFont="1" applyFill="1" applyBorder="1" applyAlignment="1" applyProtection="1">
      <alignment horizontal="left" vertical="top" wrapText="1"/>
      <protection locked="0"/>
    </xf>
    <xf numFmtId="0" fontId="6" fillId="0" borderId="18" xfId="0" applyFont="1" applyFill="1" applyBorder="1" applyAlignment="1" applyProtection="1">
      <alignment horizontal="left" vertical="top" wrapText="1"/>
      <protection locked="0"/>
    </xf>
    <xf numFmtId="0" fontId="6" fillId="0" borderId="19" xfId="0" applyFont="1" applyFill="1" applyBorder="1" applyAlignment="1" applyProtection="1">
      <alignment horizontal="left" vertical="top" wrapText="1"/>
      <protection locked="0"/>
    </xf>
    <xf numFmtId="44" fontId="15" fillId="0" borderId="14" xfId="3" applyFont="1" applyFill="1" applyBorder="1" applyAlignment="1" applyProtection="1">
      <alignment horizontal="center" vertical="center"/>
    </xf>
    <xf numFmtId="44" fontId="15" fillId="0" borderId="19" xfId="3" applyFont="1" applyFill="1" applyBorder="1" applyAlignment="1" applyProtection="1">
      <alignment horizontal="center" vertical="center"/>
    </xf>
    <xf numFmtId="0" fontId="10" fillId="0" borderId="21" xfId="0" applyFont="1" applyFill="1" applyBorder="1" applyAlignment="1" applyProtection="1">
      <alignment horizontal="center" vertical="center"/>
    </xf>
    <xf numFmtId="0" fontId="10" fillId="0" borderId="20" xfId="0" applyFont="1" applyFill="1" applyBorder="1" applyAlignment="1" applyProtection="1">
      <alignment horizontal="center" vertical="center"/>
    </xf>
    <xf numFmtId="0" fontId="6" fillId="0" borderId="15" xfId="0" applyFont="1" applyFill="1" applyBorder="1" applyAlignment="1" applyProtection="1">
      <alignment horizontal="center"/>
    </xf>
    <xf numFmtId="0" fontId="6" fillId="0" borderId="12" xfId="0" applyFont="1" applyFill="1" applyBorder="1" applyAlignment="1" applyProtection="1">
      <alignment horizontal="center"/>
    </xf>
    <xf numFmtId="0" fontId="3" fillId="3" borderId="16" xfId="0" applyFont="1" applyFill="1" applyBorder="1" applyAlignment="1" applyProtection="1">
      <alignment horizontal="center"/>
    </xf>
    <xf numFmtId="0" fontId="3" fillId="3" borderId="17" xfId="0" applyFont="1" applyFill="1" applyBorder="1" applyAlignment="1" applyProtection="1">
      <alignment horizontal="center"/>
    </xf>
    <xf numFmtId="0" fontId="3" fillId="3" borderId="21" xfId="0" applyFont="1" applyFill="1" applyBorder="1" applyAlignment="1" applyProtection="1">
      <alignment horizontal="center"/>
    </xf>
    <xf numFmtId="0" fontId="3" fillId="3" borderId="0" xfId="0" applyFont="1" applyFill="1" applyBorder="1" applyAlignment="1" applyProtection="1">
      <alignment horizontal="center"/>
    </xf>
    <xf numFmtId="0" fontId="3" fillId="3" borderId="14" xfId="0" applyFont="1" applyFill="1" applyBorder="1" applyAlignment="1" applyProtection="1">
      <alignment horizontal="center"/>
    </xf>
    <xf numFmtId="0" fontId="3" fillId="3" borderId="20" xfId="0" applyFont="1" applyFill="1" applyBorder="1" applyAlignment="1" applyProtection="1">
      <alignment horizontal="center"/>
    </xf>
    <xf numFmtId="0" fontId="3" fillId="3" borderId="18" xfId="0" applyFont="1" applyFill="1" applyBorder="1" applyAlignment="1" applyProtection="1">
      <alignment horizontal="center"/>
    </xf>
    <xf numFmtId="0" fontId="3" fillId="3" borderId="19" xfId="0" applyFont="1" applyFill="1" applyBorder="1" applyAlignment="1" applyProtection="1">
      <alignment horizontal="center"/>
    </xf>
    <xf numFmtId="166" fontId="18" fillId="4" borderId="1" xfId="4" applyNumberFormat="1" applyFont="1" applyBorder="1" applyAlignment="1" applyProtection="1">
      <alignment horizontal="center" vertical="center"/>
    </xf>
    <xf numFmtId="3" fontId="18" fillId="4" borderId="3" xfId="4" applyNumberFormat="1" applyFont="1" applyBorder="1" applyAlignment="1" applyProtection="1">
      <alignment horizontal="center" vertical="center"/>
      <protection locked="0"/>
    </xf>
    <xf numFmtId="3" fontId="18" fillId="4" borderId="13" xfId="4" applyNumberFormat="1" applyFont="1" applyBorder="1" applyAlignment="1" applyProtection="1">
      <alignment horizontal="center" vertical="center"/>
      <protection locked="0"/>
    </xf>
    <xf numFmtId="3" fontId="18" fillId="4" borderId="2" xfId="4" applyNumberFormat="1" applyFont="1" applyBorder="1" applyAlignment="1" applyProtection="1">
      <alignment horizontal="center" vertical="center"/>
      <protection locked="0"/>
    </xf>
    <xf numFmtId="0" fontId="6" fillId="3" borderId="24" xfId="0" applyFont="1" applyFill="1" applyBorder="1" applyAlignment="1" applyProtection="1">
      <alignment horizontal="center" vertical="center"/>
      <protection locked="0"/>
    </xf>
    <xf numFmtId="0" fontId="6" fillId="3" borderId="26" xfId="0" applyFont="1" applyFill="1" applyBorder="1" applyAlignment="1" applyProtection="1">
      <alignment horizontal="center" vertical="center"/>
      <protection locked="0"/>
    </xf>
    <xf numFmtId="0" fontId="6" fillId="3" borderId="25" xfId="0" applyFont="1" applyFill="1" applyBorder="1" applyAlignment="1" applyProtection="1">
      <alignment horizontal="center" vertical="center"/>
      <protection locked="0"/>
    </xf>
    <xf numFmtId="165" fontId="3" fillId="0" borderId="24" xfId="0" applyNumberFormat="1" applyFont="1" applyBorder="1" applyAlignment="1" applyProtection="1">
      <alignment horizontal="center" vertical="center"/>
      <protection locked="0"/>
    </xf>
    <xf numFmtId="165" fontId="3" fillId="0" borderId="26" xfId="0" applyNumberFormat="1" applyFont="1" applyBorder="1" applyAlignment="1" applyProtection="1">
      <alignment horizontal="center" vertical="center"/>
      <protection locked="0"/>
    </xf>
    <xf numFmtId="165" fontId="3" fillId="0" borderId="25" xfId="0" applyNumberFormat="1" applyFont="1" applyBorder="1" applyAlignment="1" applyProtection="1">
      <alignment horizontal="center" vertical="center"/>
      <protection locked="0"/>
    </xf>
    <xf numFmtId="3" fontId="18" fillId="4" borderId="1" xfId="4" applyNumberFormat="1" applyFont="1" applyBorder="1" applyAlignment="1" applyProtection="1">
      <alignment horizontal="center" vertical="center"/>
      <protection locked="0"/>
    </xf>
    <xf numFmtId="0" fontId="18" fillId="4" borderId="3" xfId="4" applyFont="1" applyBorder="1" applyAlignment="1" applyProtection="1">
      <alignment horizontal="center"/>
      <protection locked="0"/>
    </xf>
    <xf numFmtId="0" fontId="18" fillId="4" borderId="13" xfId="4" applyFont="1" applyBorder="1" applyAlignment="1" applyProtection="1">
      <alignment horizontal="center"/>
      <protection locked="0"/>
    </xf>
    <xf numFmtId="0" fontId="18" fillId="4" borderId="2" xfId="4" applyFont="1" applyBorder="1" applyAlignment="1" applyProtection="1">
      <alignment horizontal="center"/>
      <protection locked="0"/>
    </xf>
    <xf numFmtId="3" fontId="18" fillId="4" borderId="1" xfId="4" applyNumberFormat="1" applyFont="1" applyBorder="1" applyAlignment="1" applyProtection="1">
      <alignment horizontal="center" vertical="center"/>
    </xf>
    <xf numFmtId="0" fontId="18" fillId="4" borderId="8" xfId="4" applyFont="1" applyBorder="1" applyAlignment="1" applyProtection="1">
      <alignment horizontal="center" vertical="center"/>
    </xf>
    <xf numFmtId="0" fontId="18" fillId="4" borderId="32" xfId="4" applyFont="1" applyBorder="1" applyAlignment="1" applyProtection="1">
      <alignment horizontal="center" vertical="center"/>
    </xf>
    <xf numFmtId="0" fontId="18" fillId="4" borderId="33" xfId="4" applyFont="1" applyBorder="1" applyAlignment="1" applyProtection="1">
      <alignment horizontal="center" vertical="center"/>
    </xf>
    <xf numFmtId="0" fontId="18" fillId="4" borderId="5" xfId="4" applyFont="1" applyBorder="1" applyAlignment="1" applyProtection="1">
      <alignment horizontal="center" vertical="center"/>
    </xf>
    <xf numFmtId="0" fontId="18" fillId="4" borderId="28" xfId="4" applyFont="1" applyBorder="1" applyAlignment="1" applyProtection="1">
      <alignment horizontal="center" vertical="center"/>
    </xf>
    <xf numFmtId="0" fontId="18" fillId="4" borderId="34" xfId="4" applyFont="1" applyBorder="1" applyAlignment="1" applyProtection="1">
      <alignment horizontal="center" vertical="center"/>
    </xf>
    <xf numFmtId="0" fontId="18" fillId="4" borderId="28" xfId="4" applyNumberFormat="1" applyFont="1" applyBorder="1" applyAlignment="1" applyProtection="1">
      <alignment horizontal="center" vertical="center"/>
    </xf>
    <xf numFmtId="0" fontId="18" fillId="4" borderId="34" xfId="4" applyNumberFormat="1" applyFont="1" applyBorder="1" applyAlignment="1" applyProtection="1">
      <alignment horizontal="center" vertical="center"/>
    </xf>
  </cellXfs>
  <cellStyles count="6">
    <cellStyle name="40% - Ênfase3" xfId="4" builtinId="39"/>
    <cellStyle name="Hiperlink 2" xfId="2"/>
    <cellStyle name="Moeda" xfId="3" builtinId="4"/>
    <cellStyle name="Moeda 2" xfId="5"/>
    <cellStyle name="Normal" xfId="0" builtinId="0"/>
    <cellStyle name="Normal 2" xfId="1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180975</xdr:colOff>
      <xdr:row>45</xdr:row>
      <xdr:rowOff>212827</xdr:rowOff>
    </xdr:from>
    <xdr:to>
      <xdr:col>25</xdr:col>
      <xdr:colOff>476250</xdr:colOff>
      <xdr:row>48</xdr:row>
      <xdr:rowOff>53873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67525" y="12138127"/>
          <a:ext cx="1038225" cy="5363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255"/>
  <sheetViews>
    <sheetView tabSelected="1" topLeftCell="A4" zoomScaleNormal="100" zoomScaleSheetLayoutView="100" workbookViewId="0">
      <selection activeCell="A14" sqref="A14"/>
    </sheetView>
  </sheetViews>
  <sheetFormatPr defaultRowHeight="12.75" x14ac:dyDescent="0.2"/>
  <cols>
    <col min="1" max="1" width="8.7109375" style="74" customWidth="1"/>
    <col min="2" max="2" width="7" style="15" customWidth="1"/>
    <col min="3" max="3" width="2.85546875" style="15" customWidth="1"/>
    <col min="4" max="4" width="3.5703125" style="15" customWidth="1"/>
    <col min="5" max="5" width="4.140625" style="15" customWidth="1"/>
    <col min="6" max="7" width="3.140625" style="15" customWidth="1"/>
    <col min="8" max="8" width="3" style="15" customWidth="1"/>
    <col min="9" max="9" width="0.85546875" style="15" customWidth="1"/>
    <col min="10" max="10" width="3" style="15" hidden="1" customWidth="1"/>
    <col min="11" max="11" width="2.5703125" style="15" customWidth="1"/>
    <col min="12" max="24" width="5.5703125" style="15" customWidth="1"/>
    <col min="25" max="25" width="2" style="24" hidden="1" customWidth="1"/>
    <col min="26" max="26" width="9.5703125" style="15" customWidth="1"/>
    <col min="27" max="27" width="12.7109375" style="15" customWidth="1"/>
    <col min="28" max="28" width="17.28515625" style="15" customWidth="1"/>
    <col min="29" max="30" width="9.140625" style="15"/>
    <col min="31" max="31" width="58" style="15" customWidth="1"/>
    <col min="32" max="32" width="0" style="15" hidden="1" customWidth="1"/>
    <col min="33" max="33" width="19.5703125" style="15" hidden="1" customWidth="1"/>
    <col min="34" max="16384" width="9.140625" style="15"/>
  </cols>
  <sheetData>
    <row r="1" spans="1:33" s="72" customFormat="1" ht="26.25" customHeight="1" x14ac:dyDescent="0.4">
      <c r="A1" s="106" t="s">
        <v>161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71"/>
    </row>
    <row r="2" spans="1:33" ht="15" customHeight="1" thickBot="1" x14ac:dyDescent="0.25">
      <c r="A2" s="16" t="s">
        <v>15</v>
      </c>
      <c r="B2" s="113">
        <v>46268</v>
      </c>
      <c r="C2" s="114"/>
      <c r="D2" s="114"/>
      <c r="E2" s="115"/>
      <c r="F2" s="116" t="s">
        <v>29</v>
      </c>
      <c r="G2" s="117"/>
      <c r="H2" s="117"/>
      <c r="I2" s="117"/>
      <c r="J2" s="117"/>
      <c r="K2" s="117"/>
      <c r="L2" s="117"/>
      <c r="M2" s="118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58" t="s">
        <v>30</v>
      </c>
      <c r="AB2" s="68"/>
      <c r="AE2" s="17"/>
    </row>
    <row r="3" spans="1:33" ht="15.75" thickTop="1" thickBot="1" x14ac:dyDescent="0.25">
      <c r="A3" s="97" t="s">
        <v>16</v>
      </c>
      <c r="B3" s="99"/>
      <c r="C3" s="111" t="s">
        <v>218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E3" s="17"/>
    </row>
    <row r="4" spans="1:33" ht="16.5" thickTop="1" thickBot="1" x14ac:dyDescent="0.25">
      <c r="A4" s="108" t="s">
        <v>17</v>
      </c>
      <c r="B4" s="108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E4" s="17"/>
      <c r="AF4" s="7">
        <v>15</v>
      </c>
      <c r="AG4" s="33"/>
    </row>
    <row r="5" spans="1:33" ht="16.5" thickTop="1" thickBot="1" x14ac:dyDescent="0.25">
      <c r="A5" s="108" t="s">
        <v>18</v>
      </c>
      <c r="B5" s="108"/>
      <c r="C5" s="103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5"/>
      <c r="O5" s="97" t="s">
        <v>28</v>
      </c>
      <c r="P5" s="98"/>
      <c r="Q5" s="98"/>
      <c r="R5" s="99"/>
      <c r="S5" s="100"/>
      <c r="T5" s="101"/>
      <c r="U5" s="101"/>
      <c r="V5" s="101"/>
      <c r="W5" s="101"/>
      <c r="X5" s="101"/>
      <c r="Y5" s="101"/>
      <c r="Z5" s="102"/>
      <c r="AA5" s="25" t="s">
        <v>23</v>
      </c>
      <c r="AB5" s="18"/>
      <c r="AE5" s="17"/>
      <c r="AF5" s="7" t="s">
        <v>49</v>
      </c>
      <c r="AG5" s="33"/>
    </row>
    <row r="6" spans="1:33" ht="16.5" thickTop="1" thickBot="1" x14ac:dyDescent="0.25">
      <c r="A6" s="109" t="s">
        <v>21</v>
      </c>
      <c r="B6" s="110"/>
      <c r="C6" s="103"/>
      <c r="D6" s="104"/>
      <c r="E6" s="104"/>
      <c r="F6" s="104"/>
      <c r="G6" s="104"/>
      <c r="H6" s="97" t="s">
        <v>22</v>
      </c>
      <c r="I6" s="98"/>
      <c r="J6" s="98"/>
      <c r="K6" s="99"/>
      <c r="L6" s="100"/>
      <c r="M6" s="101"/>
      <c r="N6" s="101"/>
      <c r="O6" s="101"/>
      <c r="P6" s="102"/>
      <c r="Q6" s="120" t="s">
        <v>48</v>
      </c>
      <c r="R6" s="121"/>
      <c r="S6" s="103"/>
      <c r="T6" s="104"/>
      <c r="U6" s="104"/>
      <c r="V6" s="104"/>
      <c r="W6" s="105"/>
      <c r="X6" s="97" t="s">
        <v>159</v>
      </c>
      <c r="Y6" s="98"/>
      <c r="Z6" s="99"/>
      <c r="AA6" s="100"/>
      <c r="AB6" s="102"/>
      <c r="AE6" s="17"/>
      <c r="AF6" s="7">
        <v>80</v>
      </c>
      <c r="AG6" s="33"/>
    </row>
    <row r="7" spans="1:33" ht="16.5" thickTop="1" thickBot="1" x14ac:dyDescent="0.25">
      <c r="A7" s="108" t="s">
        <v>20</v>
      </c>
      <c r="B7" s="108"/>
      <c r="C7" s="156"/>
      <c r="D7" s="157"/>
      <c r="E7" s="157"/>
      <c r="F7" s="157"/>
      <c r="G7" s="157"/>
      <c r="H7" s="157"/>
      <c r="I7" s="157"/>
      <c r="J7" s="157"/>
      <c r="K7" s="157"/>
      <c r="L7" s="158"/>
      <c r="M7" s="25" t="s">
        <v>27</v>
      </c>
      <c r="N7" s="25"/>
      <c r="O7" s="25"/>
      <c r="P7" s="25"/>
      <c r="Q7" s="103"/>
      <c r="R7" s="104"/>
      <c r="S7" s="104"/>
      <c r="T7" s="105"/>
      <c r="U7" s="97" t="s">
        <v>19</v>
      </c>
      <c r="V7" s="99"/>
      <c r="W7" s="103"/>
      <c r="X7" s="104"/>
      <c r="Y7" s="104"/>
      <c r="Z7" s="104"/>
      <c r="AA7" s="104"/>
      <c r="AB7" s="105"/>
      <c r="AE7" s="17"/>
      <c r="AF7" s="7" t="s">
        <v>50</v>
      </c>
      <c r="AG7" s="33"/>
    </row>
    <row r="8" spans="1:33" ht="16.5" thickTop="1" thickBot="1" x14ac:dyDescent="0.25">
      <c r="A8" s="108" t="s">
        <v>6</v>
      </c>
      <c r="B8" s="108"/>
      <c r="C8" s="153"/>
      <c r="D8" s="154"/>
      <c r="E8" s="154"/>
      <c r="F8" s="154"/>
      <c r="G8" s="154"/>
      <c r="H8" s="154"/>
      <c r="I8" s="154"/>
      <c r="J8" s="154"/>
      <c r="K8" s="154"/>
      <c r="L8" s="154"/>
      <c r="M8" s="155"/>
      <c r="N8" s="97" t="s">
        <v>5</v>
      </c>
      <c r="O8" s="98"/>
      <c r="P8" s="99"/>
      <c r="Q8" s="153"/>
      <c r="R8" s="154"/>
      <c r="S8" s="154"/>
      <c r="T8" s="154"/>
      <c r="U8" s="97" t="s">
        <v>43</v>
      </c>
      <c r="V8" s="98"/>
      <c r="W8" s="98"/>
      <c r="X8" s="99"/>
      <c r="Y8" s="19"/>
      <c r="Z8" s="153"/>
      <c r="AA8" s="154"/>
      <c r="AB8" s="155"/>
      <c r="AE8" s="17"/>
      <c r="AF8" s="7">
        <v>83</v>
      </c>
      <c r="AG8" s="33"/>
    </row>
    <row r="9" spans="1:33" s="74" customFormat="1" ht="16.5" thickTop="1" x14ac:dyDescent="0.25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1"/>
      <c r="L9" s="163" t="s">
        <v>157</v>
      </c>
      <c r="M9" s="163"/>
      <c r="N9" s="163"/>
      <c r="O9" s="163"/>
      <c r="P9" s="163"/>
      <c r="Q9" s="159" t="s">
        <v>155</v>
      </c>
      <c r="R9" s="159"/>
      <c r="S9" s="159"/>
      <c r="T9" s="159"/>
      <c r="U9" s="149" t="s">
        <v>156</v>
      </c>
      <c r="V9" s="149"/>
      <c r="W9" s="149"/>
      <c r="X9" s="149"/>
      <c r="Y9" s="73"/>
      <c r="Z9" s="149"/>
      <c r="AA9" s="149"/>
      <c r="AB9" s="149"/>
      <c r="AE9" s="75"/>
      <c r="AF9" s="76"/>
      <c r="AG9" s="77"/>
    </row>
    <row r="10" spans="1:33" s="74" customFormat="1" ht="15.75" x14ac:dyDescent="0.25">
      <c r="A10" s="164" t="s">
        <v>158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6"/>
      <c r="L10" s="78"/>
      <c r="M10" s="78">
        <v>2</v>
      </c>
      <c r="N10" s="79">
        <v>4</v>
      </c>
      <c r="O10" s="79">
        <v>6</v>
      </c>
      <c r="P10" s="79">
        <v>8</v>
      </c>
      <c r="Q10" s="150"/>
      <c r="R10" s="151"/>
      <c r="S10" s="151"/>
      <c r="T10" s="152"/>
      <c r="U10" s="80">
        <v>10</v>
      </c>
      <c r="V10" s="80">
        <v>12</v>
      </c>
      <c r="W10" s="80">
        <v>14</v>
      </c>
      <c r="X10" s="81">
        <v>16</v>
      </c>
      <c r="Y10" s="82"/>
      <c r="Z10" s="159"/>
      <c r="AA10" s="159"/>
      <c r="AB10" s="159"/>
      <c r="AE10" s="75"/>
      <c r="AF10" s="76"/>
      <c r="AG10" s="77"/>
    </row>
    <row r="11" spans="1:33" s="74" customFormat="1" ht="15.75" customHeight="1" x14ac:dyDescent="0.25">
      <c r="A11" s="167"/>
      <c r="B11" s="168"/>
      <c r="C11" s="168"/>
      <c r="D11" s="168"/>
      <c r="E11" s="168"/>
      <c r="F11" s="168"/>
      <c r="G11" s="168"/>
      <c r="H11" s="168"/>
      <c r="I11" s="168"/>
      <c r="J11" s="168"/>
      <c r="K11" s="169"/>
      <c r="L11" s="81" t="s">
        <v>8</v>
      </c>
      <c r="M11" s="81" t="s">
        <v>0</v>
      </c>
      <c r="N11" s="81" t="s">
        <v>1</v>
      </c>
      <c r="O11" s="81" t="s">
        <v>2</v>
      </c>
      <c r="P11" s="81" t="s">
        <v>7</v>
      </c>
      <c r="Q11" s="80" t="s">
        <v>9</v>
      </c>
      <c r="R11" s="80" t="s">
        <v>152</v>
      </c>
      <c r="S11" s="80" t="s">
        <v>153</v>
      </c>
      <c r="T11" s="80" t="s">
        <v>154</v>
      </c>
      <c r="U11" s="150"/>
      <c r="V11" s="151"/>
      <c r="W11" s="151"/>
      <c r="X11" s="152"/>
      <c r="Y11" s="95"/>
      <c r="Z11" s="95"/>
      <c r="AA11" s="95"/>
      <c r="AB11" s="95"/>
      <c r="AF11" s="83" t="s">
        <v>51</v>
      </c>
      <c r="AG11" s="77"/>
    </row>
    <row r="12" spans="1:33" s="20" customFormat="1" ht="15.75" x14ac:dyDescent="0.25">
      <c r="A12" s="81" t="s">
        <v>3</v>
      </c>
      <c r="B12" s="95" t="s">
        <v>13</v>
      </c>
      <c r="C12" s="95"/>
      <c r="D12" s="95"/>
      <c r="E12" s="95"/>
      <c r="F12" s="95"/>
      <c r="G12" s="95"/>
      <c r="H12" s="95"/>
      <c r="I12" s="95"/>
      <c r="J12" s="95"/>
      <c r="K12" s="95"/>
      <c r="L12" s="81">
        <v>36</v>
      </c>
      <c r="M12" s="81">
        <v>38</v>
      </c>
      <c r="N12" s="81">
        <v>40</v>
      </c>
      <c r="O12" s="81">
        <v>42</v>
      </c>
      <c r="P12" s="81" t="s">
        <v>160</v>
      </c>
      <c r="Q12" s="81">
        <v>48</v>
      </c>
      <c r="R12" s="81">
        <v>50</v>
      </c>
      <c r="S12" s="81">
        <v>52</v>
      </c>
      <c r="T12" s="81">
        <v>54</v>
      </c>
      <c r="U12" s="160"/>
      <c r="V12" s="161"/>
      <c r="W12" s="161"/>
      <c r="X12" s="162"/>
      <c r="Y12" s="81"/>
      <c r="Z12" s="81" t="s">
        <v>10</v>
      </c>
      <c r="AA12" s="81" t="s">
        <v>11</v>
      </c>
      <c r="AB12" s="81" t="s">
        <v>4</v>
      </c>
      <c r="AF12" s="83">
        <v>86</v>
      </c>
      <c r="AG12" s="77"/>
    </row>
    <row r="13" spans="1:33" ht="22.5" customHeight="1" x14ac:dyDescent="0.2">
      <c r="A13" s="88">
        <v>22151</v>
      </c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44"/>
      <c r="M13" s="44">
        <v>1</v>
      </c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9"/>
      <c r="Y13" s="45"/>
      <c r="Z13" s="46">
        <f t="shared" ref="Z13:Z44" si="0">L13+M13+N13+O13+P13+U13+V13+W13+X13+Q13+R13+S13+T13</f>
        <v>1</v>
      </c>
      <c r="AA13" s="27">
        <f>IFERROR(VLOOKUP(A13,Plan2!$A$1:$F$777,6,0),"-")</f>
        <v>36.9</v>
      </c>
      <c r="AB13" s="43">
        <f>IFERROR(AA13*Z13,"-")</f>
        <v>36.9</v>
      </c>
      <c r="AE13" s="17"/>
      <c r="AF13" s="7" t="s">
        <v>52</v>
      </c>
      <c r="AG13" s="33"/>
    </row>
    <row r="14" spans="1:33" ht="22.5" customHeight="1" x14ac:dyDescent="0.2">
      <c r="A14" s="89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44"/>
      <c r="M14" s="47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9"/>
      <c r="Y14" s="40"/>
      <c r="Z14" s="41">
        <f t="shared" si="0"/>
        <v>0</v>
      </c>
      <c r="AA14" s="42" t="str">
        <f>IFERROR(VLOOKUP(A14,Plan2!$A$1:$F$777,6,0),"-")</f>
        <v>-</v>
      </c>
      <c r="AB14" s="43" t="str">
        <f>IFERROR(AA14*Z14,"-")</f>
        <v>-</v>
      </c>
      <c r="AF14" s="7">
        <v>87</v>
      </c>
      <c r="AG14" s="33"/>
    </row>
    <row r="15" spans="1:33" ht="22.5" customHeight="1" x14ac:dyDescent="0.2">
      <c r="A15" s="90"/>
      <c r="B15" s="94"/>
      <c r="C15" s="94"/>
      <c r="D15" s="94"/>
      <c r="E15" s="94"/>
      <c r="F15" s="94"/>
      <c r="G15" s="94"/>
      <c r="H15" s="94"/>
      <c r="I15" s="94"/>
      <c r="J15" s="94"/>
      <c r="K15" s="94"/>
      <c r="L15" s="44"/>
      <c r="M15" s="48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7"/>
      <c r="Y15" s="26"/>
      <c r="Z15" s="32">
        <f t="shared" si="0"/>
        <v>0</v>
      </c>
      <c r="AA15" s="27" t="str">
        <f>IFERROR(VLOOKUP(A15,Plan2!$A$1:$F$777,6,0),"-")</f>
        <v>-</v>
      </c>
      <c r="AB15" s="28" t="str">
        <f t="shared" ref="AB15:AB44" si="1">IFERROR(AA15*Z15,"-")</f>
        <v>-</v>
      </c>
      <c r="AF15" s="8" t="s">
        <v>53</v>
      </c>
      <c r="AG15" s="33"/>
    </row>
    <row r="16" spans="1:33" ht="22.5" customHeight="1" x14ac:dyDescent="0.2">
      <c r="A16" s="90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44"/>
      <c r="M16" s="48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7"/>
      <c r="Y16" s="26"/>
      <c r="Z16" s="32">
        <f t="shared" si="0"/>
        <v>0</v>
      </c>
      <c r="AA16" s="27" t="str">
        <f>IFERROR(VLOOKUP(A16,Plan2!$A$1:$F$777,6,0),"-")</f>
        <v>-</v>
      </c>
      <c r="AB16" s="28" t="str">
        <f t="shared" si="1"/>
        <v>-</v>
      </c>
      <c r="AF16" s="7">
        <v>88</v>
      </c>
      <c r="AG16" s="33"/>
    </row>
    <row r="17" spans="1:33" ht="22.5" customHeight="1" x14ac:dyDescent="0.2">
      <c r="A17" s="90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44"/>
      <c r="M17" s="48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7"/>
      <c r="Y17" s="26"/>
      <c r="Z17" s="32">
        <f t="shared" si="0"/>
        <v>0</v>
      </c>
      <c r="AA17" s="27" t="str">
        <f>IFERROR(VLOOKUP(A17,Plan2!$A$1:$F$777,6,0),"-")</f>
        <v>-</v>
      </c>
      <c r="AB17" s="28" t="str">
        <f t="shared" si="1"/>
        <v>-</v>
      </c>
      <c r="AF17" s="7" t="s">
        <v>54</v>
      </c>
      <c r="AG17" s="33"/>
    </row>
    <row r="18" spans="1:33" ht="22.5" customHeight="1" x14ac:dyDescent="0.2">
      <c r="A18" s="90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44"/>
      <c r="M18" s="48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7"/>
      <c r="Y18" s="26"/>
      <c r="Z18" s="32">
        <f t="shared" si="0"/>
        <v>0</v>
      </c>
      <c r="AA18" s="27" t="str">
        <f>IFERROR(VLOOKUP(A18,Plan2!$A$1:$F$777,6,0),"-")</f>
        <v>-</v>
      </c>
      <c r="AB18" s="28" t="str">
        <f t="shared" si="1"/>
        <v>-</v>
      </c>
      <c r="AF18" s="7">
        <v>90</v>
      </c>
      <c r="AG18" s="33"/>
    </row>
    <row r="19" spans="1:33" ht="22.5" customHeight="1" x14ac:dyDescent="0.2">
      <c r="A19" s="90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44"/>
      <c r="M19" s="48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7"/>
      <c r="Y19" s="26"/>
      <c r="Z19" s="32">
        <f t="shared" si="0"/>
        <v>0</v>
      </c>
      <c r="AA19" s="27" t="str">
        <f>IFERROR(VLOOKUP(A19,Plan2!$A$1:$F$777,6,0),"-")</f>
        <v>-</v>
      </c>
      <c r="AB19" s="28" t="str">
        <f t="shared" si="1"/>
        <v>-</v>
      </c>
      <c r="AF19" s="7" t="s">
        <v>55</v>
      </c>
      <c r="AG19" s="33"/>
    </row>
    <row r="20" spans="1:33" ht="22.5" customHeight="1" x14ac:dyDescent="0.2">
      <c r="A20" s="90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44"/>
      <c r="M20" s="48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7"/>
      <c r="Y20" s="26"/>
      <c r="Z20" s="32">
        <f t="shared" si="0"/>
        <v>0</v>
      </c>
      <c r="AA20" s="27" t="str">
        <f>IFERROR(VLOOKUP(A20,Plan2!$A$1:$F$777,6,0),"-")</f>
        <v>-</v>
      </c>
      <c r="AB20" s="28" t="str">
        <f t="shared" si="1"/>
        <v>-</v>
      </c>
      <c r="AF20" s="7">
        <v>91</v>
      </c>
      <c r="AG20" s="33"/>
    </row>
    <row r="21" spans="1:33" ht="22.5" customHeight="1" x14ac:dyDescent="0.2">
      <c r="A21" s="90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44"/>
      <c r="M21" s="48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7"/>
      <c r="Y21" s="26"/>
      <c r="Z21" s="32">
        <f t="shared" si="0"/>
        <v>0</v>
      </c>
      <c r="AA21" s="27" t="str">
        <f>IFERROR(VLOOKUP(A21,Plan2!$A$1:$F$777,6,0),"-")</f>
        <v>-</v>
      </c>
      <c r="AB21" s="28" t="str">
        <f t="shared" si="1"/>
        <v>-</v>
      </c>
      <c r="AF21" s="7" t="s">
        <v>56</v>
      </c>
      <c r="AG21" s="33"/>
    </row>
    <row r="22" spans="1:33" ht="22.5" customHeight="1" x14ac:dyDescent="0.2">
      <c r="A22" s="90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44"/>
      <c r="M22" s="48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7"/>
      <c r="Y22" s="26"/>
      <c r="Z22" s="32">
        <f t="shared" si="0"/>
        <v>0</v>
      </c>
      <c r="AA22" s="27" t="str">
        <f>IFERROR(VLOOKUP(A22,Plan2!$A$1:$F$777,6,0),"-")</f>
        <v>-</v>
      </c>
      <c r="AB22" s="28" t="str">
        <f t="shared" si="1"/>
        <v>-</v>
      </c>
      <c r="AF22" s="7">
        <v>92</v>
      </c>
      <c r="AG22" s="33"/>
    </row>
    <row r="23" spans="1:33" ht="22.5" customHeight="1" x14ac:dyDescent="0.2">
      <c r="A23" s="90"/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44"/>
      <c r="M23" s="48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7"/>
      <c r="Y23" s="26"/>
      <c r="Z23" s="32">
        <f t="shared" si="0"/>
        <v>0</v>
      </c>
      <c r="AA23" s="27" t="str">
        <f>IFERROR(VLOOKUP(A23,Plan2!$A$1:$F$777,6,0),"-")</f>
        <v>-</v>
      </c>
      <c r="AB23" s="28" t="str">
        <f t="shared" si="1"/>
        <v>-</v>
      </c>
      <c r="AF23" s="7" t="s">
        <v>57</v>
      </c>
      <c r="AG23" s="33"/>
    </row>
    <row r="24" spans="1:33" ht="22.5" customHeight="1" x14ac:dyDescent="0.2">
      <c r="A24" s="90"/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44"/>
      <c r="M24" s="48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7"/>
      <c r="Y24" s="26"/>
      <c r="Z24" s="32">
        <f t="shared" si="0"/>
        <v>0</v>
      </c>
      <c r="AA24" s="27" t="str">
        <f>IFERROR(VLOOKUP(A24,Plan2!$A$1:$F$777,6,0),"-")</f>
        <v>-</v>
      </c>
      <c r="AB24" s="28" t="str">
        <f t="shared" si="1"/>
        <v>-</v>
      </c>
      <c r="AF24" s="7">
        <v>93</v>
      </c>
      <c r="AG24" s="33"/>
    </row>
    <row r="25" spans="1:33" ht="22.5" customHeight="1" x14ac:dyDescent="0.2">
      <c r="A25" s="90"/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44"/>
      <c r="M25" s="48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7"/>
      <c r="Y25" s="26"/>
      <c r="Z25" s="32">
        <f t="shared" si="0"/>
        <v>0</v>
      </c>
      <c r="AA25" s="27" t="str">
        <f>IFERROR(VLOOKUP(A25,Plan2!$A$1:$F$777,6,0),"-")</f>
        <v>-</v>
      </c>
      <c r="AB25" s="28" t="str">
        <f t="shared" si="1"/>
        <v>-</v>
      </c>
      <c r="AF25" s="8" t="s">
        <v>58</v>
      </c>
      <c r="AG25" s="33"/>
    </row>
    <row r="26" spans="1:33" ht="22.5" customHeight="1" x14ac:dyDescent="0.2">
      <c r="A26" s="90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44"/>
      <c r="M26" s="48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7"/>
      <c r="Y26" s="26"/>
      <c r="Z26" s="32">
        <f t="shared" si="0"/>
        <v>0</v>
      </c>
      <c r="AA26" s="27" t="str">
        <f>IFERROR(VLOOKUP(A26,Plan2!$A$1:$F$777,6,0),"-")</f>
        <v>-</v>
      </c>
      <c r="AB26" s="28" t="str">
        <f t="shared" si="1"/>
        <v>-</v>
      </c>
      <c r="AF26" s="7">
        <v>94</v>
      </c>
      <c r="AG26" s="33"/>
    </row>
    <row r="27" spans="1:33" ht="22.5" customHeight="1" x14ac:dyDescent="0.2">
      <c r="A27" s="90"/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44"/>
      <c r="M27" s="48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7"/>
      <c r="Y27" s="26"/>
      <c r="Z27" s="32">
        <f t="shared" si="0"/>
        <v>0</v>
      </c>
      <c r="AA27" s="27" t="str">
        <f>IFERROR(VLOOKUP(A27,Plan2!$A$1:$F$777,6,0),"-")</f>
        <v>-</v>
      </c>
      <c r="AB27" s="28" t="str">
        <f t="shared" si="1"/>
        <v>-</v>
      </c>
      <c r="AF27" s="7" t="s">
        <v>59</v>
      </c>
      <c r="AG27" s="33"/>
    </row>
    <row r="28" spans="1:33" ht="22.5" customHeight="1" x14ac:dyDescent="0.2">
      <c r="A28" s="90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44"/>
      <c r="M28" s="48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7"/>
      <c r="Y28" s="26"/>
      <c r="Z28" s="32">
        <f t="shared" si="0"/>
        <v>0</v>
      </c>
      <c r="AA28" s="27" t="str">
        <f>IFERROR(VLOOKUP(A28,Plan2!$A$1:$F$777,6,0),"-")</f>
        <v>-</v>
      </c>
      <c r="AB28" s="28" t="str">
        <f t="shared" si="1"/>
        <v>-</v>
      </c>
      <c r="AF28" s="7">
        <v>95</v>
      </c>
      <c r="AG28" s="33"/>
    </row>
    <row r="29" spans="1:33" ht="22.5" customHeight="1" x14ac:dyDescent="0.2">
      <c r="A29" s="90"/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44"/>
      <c r="M29" s="48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7"/>
      <c r="Y29" s="26"/>
      <c r="Z29" s="32">
        <f t="shared" si="0"/>
        <v>0</v>
      </c>
      <c r="AA29" s="27" t="str">
        <f>IFERROR(VLOOKUP(A29,Plan2!$A$1:$F$777,6,0),"-")</f>
        <v>-</v>
      </c>
      <c r="AB29" s="28" t="str">
        <f t="shared" si="1"/>
        <v>-</v>
      </c>
      <c r="AF29" s="7" t="s">
        <v>60</v>
      </c>
      <c r="AG29" s="33"/>
    </row>
    <row r="30" spans="1:33" ht="22.5" customHeight="1" x14ac:dyDescent="0.2">
      <c r="A30" s="90"/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44"/>
      <c r="M30" s="48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7"/>
      <c r="Y30" s="26"/>
      <c r="Z30" s="32">
        <f t="shared" si="0"/>
        <v>0</v>
      </c>
      <c r="AA30" s="27" t="str">
        <f>IFERROR(VLOOKUP(A30,Plan2!$A$1:$F$777,6,0),"-")</f>
        <v>-</v>
      </c>
      <c r="AB30" s="28" t="str">
        <f t="shared" si="1"/>
        <v>-</v>
      </c>
      <c r="AF30" s="7">
        <v>96</v>
      </c>
      <c r="AG30" s="33"/>
    </row>
    <row r="31" spans="1:33" ht="22.5" customHeight="1" x14ac:dyDescent="0.2">
      <c r="A31" s="90"/>
      <c r="B31" s="94"/>
      <c r="C31" s="94"/>
      <c r="D31" s="94"/>
      <c r="E31" s="94"/>
      <c r="F31" s="94"/>
      <c r="G31" s="94"/>
      <c r="H31" s="94"/>
      <c r="I31" s="94"/>
      <c r="J31" s="94"/>
      <c r="K31" s="94"/>
      <c r="L31" s="44"/>
      <c r="M31" s="48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7"/>
      <c r="Y31" s="26"/>
      <c r="Z31" s="32">
        <f t="shared" si="0"/>
        <v>0</v>
      </c>
      <c r="AA31" s="27" t="str">
        <f>IFERROR(VLOOKUP(A31,Plan2!$A$1:$F$777,6,0),"-")</f>
        <v>-</v>
      </c>
      <c r="AB31" s="28" t="str">
        <f t="shared" si="1"/>
        <v>-</v>
      </c>
      <c r="AF31" s="8" t="s">
        <v>61</v>
      </c>
      <c r="AG31" s="33"/>
    </row>
    <row r="32" spans="1:33" ht="22.5" customHeight="1" x14ac:dyDescent="0.2">
      <c r="A32" s="90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44"/>
      <c r="M32" s="48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7"/>
      <c r="Y32" s="26"/>
      <c r="Z32" s="32">
        <f t="shared" si="0"/>
        <v>0</v>
      </c>
      <c r="AA32" s="27" t="str">
        <f>IFERROR(VLOOKUP(A32,Plan2!$A$1:$F$777,6,0),"-")</f>
        <v>-</v>
      </c>
      <c r="AB32" s="28" t="str">
        <f t="shared" si="1"/>
        <v>-</v>
      </c>
      <c r="AF32" s="8">
        <v>102</v>
      </c>
      <c r="AG32" s="33"/>
    </row>
    <row r="33" spans="1:33" ht="22.5" customHeight="1" x14ac:dyDescent="0.2">
      <c r="A33" s="90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44"/>
      <c r="M33" s="48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7"/>
      <c r="Y33" s="26"/>
      <c r="Z33" s="32">
        <f t="shared" si="0"/>
        <v>0</v>
      </c>
      <c r="AA33" s="27" t="str">
        <f>IFERROR(VLOOKUP(A33,Plan2!$A$1:$F$777,6,0),"-")</f>
        <v>-</v>
      </c>
      <c r="AB33" s="28" t="str">
        <f t="shared" si="1"/>
        <v>-</v>
      </c>
      <c r="AF33" s="8">
        <v>103</v>
      </c>
      <c r="AG33" s="33"/>
    </row>
    <row r="34" spans="1:33" ht="22.5" customHeight="1" x14ac:dyDescent="0.2">
      <c r="A34" s="90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44"/>
      <c r="M34" s="48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7"/>
      <c r="Y34" s="26"/>
      <c r="Z34" s="32">
        <f t="shared" si="0"/>
        <v>0</v>
      </c>
      <c r="AA34" s="27" t="str">
        <f>IFERROR(VLOOKUP(A34,Plan2!$A$1:$F$777,6,0),"-")</f>
        <v>-</v>
      </c>
      <c r="AB34" s="28" t="str">
        <f t="shared" si="1"/>
        <v>-</v>
      </c>
      <c r="AF34" s="8">
        <v>104</v>
      </c>
      <c r="AG34" s="33"/>
    </row>
    <row r="35" spans="1:33" ht="22.5" customHeight="1" x14ac:dyDescent="0.2">
      <c r="A35" s="90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44"/>
      <c r="M35" s="48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7"/>
      <c r="Y35" s="26"/>
      <c r="Z35" s="32">
        <f t="shared" si="0"/>
        <v>0</v>
      </c>
      <c r="AA35" s="27" t="str">
        <f>IFERROR(VLOOKUP(A35,Plan2!$A$1:$F$777,6,0),"-")</f>
        <v>-</v>
      </c>
      <c r="AB35" s="28" t="str">
        <f t="shared" si="1"/>
        <v>-</v>
      </c>
      <c r="AF35" s="8">
        <v>106</v>
      </c>
      <c r="AG35" s="33"/>
    </row>
    <row r="36" spans="1:33" ht="22.5" customHeight="1" x14ac:dyDescent="0.2">
      <c r="A36" s="90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44"/>
      <c r="M36" s="48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7"/>
      <c r="Y36" s="26"/>
      <c r="Z36" s="32">
        <f t="shared" si="0"/>
        <v>0</v>
      </c>
      <c r="AA36" s="27" t="str">
        <f>IFERROR(VLOOKUP(A36,Plan2!$A$1:$F$777,6,0),"-")</f>
        <v>-</v>
      </c>
      <c r="AB36" s="28" t="str">
        <f t="shared" si="1"/>
        <v>-</v>
      </c>
      <c r="AF36" s="8" t="s">
        <v>62</v>
      </c>
      <c r="AG36" s="33"/>
    </row>
    <row r="37" spans="1:33" ht="22.5" customHeight="1" x14ac:dyDescent="0.2">
      <c r="A37" s="90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44"/>
      <c r="M37" s="48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7"/>
      <c r="Y37" s="29"/>
      <c r="Z37" s="32">
        <f t="shared" si="0"/>
        <v>0</v>
      </c>
      <c r="AA37" s="27" t="str">
        <f>IFERROR(VLOOKUP(A37,Plan2!$A$1:$F$777,6,0),"-")</f>
        <v>-</v>
      </c>
      <c r="AB37" s="28" t="str">
        <f t="shared" si="1"/>
        <v>-</v>
      </c>
      <c r="AF37" s="9">
        <v>108</v>
      </c>
      <c r="AG37" s="33" t="s">
        <v>151</v>
      </c>
    </row>
    <row r="38" spans="1:33" ht="22.5" customHeight="1" x14ac:dyDescent="0.2">
      <c r="A38" s="90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44"/>
      <c r="M38" s="48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7"/>
      <c r="Y38" s="29"/>
      <c r="Z38" s="32">
        <f t="shared" si="0"/>
        <v>0</v>
      </c>
      <c r="AA38" s="27" t="str">
        <f>IFERROR(VLOOKUP(A38,Plan2!$A$1:$F$777,6,0),"-")</f>
        <v>-</v>
      </c>
      <c r="AB38" s="28" t="str">
        <f t="shared" si="1"/>
        <v>-</v>
      </c>
      <c r="AF38" s="8">
        <v>109</v>
      </c>
      <c r="AG38" s="33"/>
    </row>
    <row r="39" spans="1:33" ht="22.5" customHeight="1" x14ac:dyDescent="0.2">
      <c r="A39" s="90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44"/>
      <c r="M39" s="48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7"/>
      <c r="Y39" s="29"/>
      <c r="Z39" s="32">
        <f t="shared" si="0"/>
        <v>0</v>
      </c>
      <c r="AA39" s="27" t="str">
        <f>IFERROR(VLOOKUP(A39,Plan2!$A$1:$F$777,6,0),"-")</f>
        <v>-</v>
      </c>
      <c r="AB39" s="28" t="str">
        <f t="shared" si="1"/>
        <v>-</v>
      </c>
      <c r="AF39" s="9" t="s">
        <v>63</v>
      </c>
      <c r="AG39" s="33"/>
    </row>
    <row r="40" spans="1:33" ht="22.5" customHeight="1" x14ac:dyDescent="0.2">
      <c r="A40" s="90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44"/>
      <c r="M40" s="48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7"/>
      <c r="Y40" s="29"/>
      <c r="Z40" s="32">
        <f t="shared" si="0"/>
        <v>0</v>
      </c>
      <c r="AA40" s="27" t="str">
        <f>IFERROR(VLOOKUP(A40,Plan2!$A$1:$F$777,6,0),"-")</f>
        <v>-</v>
      </c>
      <c r="AB40" s="28" t="str">
        <f t="shared" si="1"/>
        <v>-</v>
      </c>
      <c r="AF40" s="8">
        <v>110</v>
      </c>
      <c r="AG40" s="33"/>
    </row>
    <row r="41" spans="1:33" ht="22.5" customHeight="1" x14ac:dyDescent="0.2">
      <c r="A41" s="90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44"/>
      <c r="M41" s="48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7"/>
      <c r="Y41" s="29"/>
      <c r="Z41" s="32">
        <f t="shared" si="0"/>
        <v>0</v>
      </c>
      <c r="AA41" s="27" t="str">
        <f>IFERROR(VLOOKUP(A41,Plan2!$A$1:$F$777,6,0),"-")</f>
        <v>-</v>
      </c>
      <c r="AB41" s="28" t="str">
        <f t="shared" si="1"/>
        <v>-</v>
      </c>
      <c r="AF41" s="8" t="s">
        <v>64</v>
      </c>
      <c r="AG41" s="33"/>
    </row>
    <row r="42" spans="1:33" ht="22.5" customHeight="1" x14ac:dyDescent="0.2">
      <c r="A42" s="90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44"/>
      <c r="M42" s="48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7"/>
      <c r="Y42" s="29"/>
      <c r="Z42" s="32">
        <f t="shared" si="0"/>
        <v>0</v>
      </c>
      <c r="AA42" s="27" t="str">
        <f>IFERROR(VLOOKUP(A42,Plan2!$A$1:$F$777,6,0),"-")</f>
        <v>-</v>
      </c>
      <c r="AB42" s="28" t="str">
        <f t="shared" si="1"/>
        <v>-</v>
      </c>
      <c r="AF42" s="8">
        <v>111</v>
      </c>
      <c r="AG42" s="33"/>
    </row>
    <row r="43" spans="1:33" ht="22.5" customHeight="1" x14ac:dyDescent="0.2">
      <c r="A43" s="90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44"/>
      <c r="M43" s="48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7"/>
      <c r="Y43" s="29"/>
      <c r="Z43" s="32">
        <f t="shared" si="0"/>
        <v>0</v>
      </c>
      <c r="AA43" s="27" t="str">
        <f>IFERROR(VLOOKUP(A43,Plan2!$A$1:$F$777,6,0),"-")</f>
        <v>-</v>
      </c>
      <c r="AB43" s="28" t="str">
        <f t="shared" si="1"/>
        <v>-</v>
      </c>
      <c r="AF43" s="8" t="s">
        <v>65</v>
      </c>
      <c r="AG43" s="33"/>
    </row>
    <row r="44" spans="1:33" ht="22.5" customHeight="1" thickBot="1" x14ac:dyDescent="0.25">
      <c r="A44" s="91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49"/>
      <c r="M44" s="48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7"/>
      <c r="Y44" s="29"/>
      <c r="Z44" s="50">
        <f t="shared" si="0"/>
        <v>0</v>
      </c>
      <c r="AA44" s="51" t="str">
        <f>IFERROR(VLOOKUP(A44,Plan2!$A$1:$F$777,6,0),"-")</f>
        <v>-</v>
      </c>
      <c r="AB44" s="52" t="str">
        <f t="shared" si="1"/>
        <v>-</v>
      </c>
      <c r="AF44" s="8">
        <v>112</v>
      </c>
      <c r="AG44" s="33"/>
    </row>
    <row r="45" spans="1:33" ht="15.75" thickBot="1" x14ac:dyDescent="0.25">
      <c r="A45" s="127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9"/>
      <c r="N45" s="129"/>
      <c r="O45" s="129"/>
      <c r="P45" s="129"/>
      <c r="Q45" s="129"/>
      <c r="R45" s="129"/>
      <c r="S45" s="129"/>
      <c r="T45" s="129"/>
      <c r="U45" s="129"/>
      <c r="V45" s="130"/>
      <c r="W45" s="139" t="s">
        <v>12</v>
      </c>
      <c r="X45" s="140"/>
      <c r="Y45" s="30"/>
      <c r="Z45" s="31">
        <f>SUM(Z13:Z44)</f>
        <v>1</v>
      </c>
      <c r="AA45" s="53" t="s">
        <v>148</v>
      </c>
      <c r="AB45" s="54">
        <f>SUM(AB13:AB44)</f>
        <v>36.9</v>
      </c>
      <c r="AC45" s="21"/>
      <c r="AF45" s="8">
        <v>125</v>
      </c>
      <c r="AG45" s="33"/>
    </row>
    <row r="46" spans="1:33" ht="21" customHeight="1" thickBot="1" x14ac:dyDescent="0.25">
      <c r="A46" s="127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31"/>
      <c r="W46" s="141"/>
      <c r="X46" s="142"/>
      <c r="Y46" s="142"/>
      <c r="Z46" s="142"/>
      <c r="AA46" s="69" t="s">
        <v>149</v>
      </c>
      <c r="AB46" s="70">
        <v>0</v>
      </c>
      <c r="AC46" s="55"/>
      <c r="AF46" s="8" t="s">
        <v>66</v>
      </c>
      <c r="AG46" s="33"/>
    </row>
    <row r="47" spans="1:33" ht="18.75" customHeight="1" thickBot="1" x14ac:dyDescent="0.25">
      <c r="A47" s="127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31"/>
      <c r="W47" s="143"/>
      <c r="X47" s="144"/>
      <c r="Y47" s="144"/>
      <c r="Z47" s="144"/>
      <c r="AA47" s="57" t="s">
        <v>150</v>
      </c>
      <c r="AB47" s="56">
        <f>AB45*AB46</f>
        <v>0</v>
      </c>
      <c r="AC47" s="55"/>
      <c r="AF47" s="8">
        <v>126</v>
      </c>
      <c r="AG47" s="33"/>
    </row>
    <row r="48" spans="1:33" ht="15" x14ac:dyDescent="0.2">
      <c r="A48" s="127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31"/>
      <c r="W48" s="143"/>
      <c r="X48" s="144"/>
      <c r="Y48" s="144"/>
      <c r="Z48" s="145"/>
      <c r="AA48" s="137" t="s">
        <v>4</v>
      </c>
      <c r="AB48" s="135">
        <f>AB45-AB47</f>
        <v>36.9</v>
      </c>
      <c r="AC48" s="21"/>
      <c r="AF48" s="8" t="s">
        <v>67</v>
      </c>
      <c r="AG48" s="33"/>
    </row>
    <row r="49" spans="1:33" ht="23.25" customHeight="1" thickBot="1" x14ac:dyDescent="0.25">
      <c r="A49" s="132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4"/>
      <c r="W49" s="146"/>
      <c r="X49" s="147"/>
      <c r="Y49" s="147"/>
      <c r="Z49" s="148"/>
      <c r="AA49" s="138"/>
      <c r="AB49" s="136"/>
      <c r="AC49" s="21"/>
      <c r="AF49" s="7">
        <v>128</v>
      </c>
      <c r="AG49" s="33"/>
    </row>
    <row r="50" spans="1:33" ht="15.75" thickBot="1" x14ac:dyDescent="0.25">
      <c r="A50" s="122" t="s">
        <v>14</v>
      </c>
      <c r="B50" s="123"/>
      <c r="C50" s="123"/>
      <c r="D50" s="124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6"/>
      <c r="AE50" s="22"/>
      <c r="AF50" s="8" t="s">
        <v>68</v>
      </c>
      <c r="AG50" s="33"/>
    </row>
    <row r="51" spans="1:33" ht="15" x14ac:dyDescent="0.2"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AF51" s="7">
        <v>129</v>
      </c>
      <c r="AG51" s="33"/>
    </row>
    <row r="52" spans="1:33" ht="15" x14ac:dyDescent="0.2"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AF52" s="7" t="s">
        <v>69</v>
      </c>
      <c r="AG52" s="33"/>
    </row>
    <row r="53" spans="1:33" ht="15" x14ac:dyDescent="0.2"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AF53" s="7">
        <v>130</v>
      </c>
      <c r="AG53" s="33"/>
    </row>
    <row r="54" spans="1:33" ht="15" x14ac:dyDescent="0.2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AF54" s="9" t="s">
        <v>70</v>
      </c>
      <c r="AG54" s="33"/>
    </row>
    <row r="55" spans="1:33" ht="15" x14ac:dyDescent="0.2"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AF55" s="7">
        <v>131</v>
      </c>
      <c r="AG55" s="33"/>
    </row>
    <row r="56" spans="1:33" ht="15" x14ac:dyDescent="0.2"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AF56" s="9" t="s">
        <v>71</v>
      </c>
      <c r="AG56" s="33"/>
    </row>
    <row r="57" spans="1:33" ht="15" x14ac:dyDescent="0.2"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AF57" s="8">
        <v>135</v>
      </c>
      <c r="AG57" s="33"/>
    </row>
    <row r="58" spans="1:33" ht="15" x14ac:dyDescent="0.2"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AF58" s="8" t="s">
        <v>72</v>
      </c>
      <c r="AG58" s="33"/>
    </row>
    <row r="59" spans="1:33" ht="15" x14ac:dyDescent="0.2"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AF59" s="8">
        <v>139</v>
      </c>
      <c r="AG59" s="33"/>
    </row>
    <row r="60" spans="1:33" ht="15" x14ac:dyDescent="0.2"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AF60" s="7">
        <v>140</v>
      </c>
      <c r="AG60" s="33"/>
    </row>
    <row r="61" spans="1:33" ht="15" x14ac:dyDescent="0.2"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AF61" s="7" t="s">
        <v>73</v>
      </c>
      <c r="AG61" s="33"/>
    </row>
    <row r="62" spans="1:33" ht="15" x14ac:dyDescent="0.2">
      <c r="AF62" s="7">
        <v>141</v>
      </c>
      <c r="AG62" s="33"/>
    </row>
    <row r="63" spans="1:33" ht="15" x14ac:dyDescent="0.2">
      <c r="AF63" s="7">
        <v>142</v>
      </c>
      <c r="AG63" s="33"/>
    </row>
    <row r="64" spans="1:33" ht="15" x14ac:dyDescent="0.2">
      <c r="AF64" s="8">
        <v>143</v>
      </c>
      <c r="AG64" s="33"/>
    </row>
    <row r="65" spans="32:33" ht="15" x14ac:dyDescent="0.2">
      <c r="AF65" s="8">
        <v>145</v>
      </c>
      <c r="AG65" s="33"/>
    </row>
    <row r="66" spans="32:33" ht="15" x14ac:dyDescent="0.2">
      <c r="AF66" s="8" t="s">
        <v>74</v>
      </c>
      <c r="AG66" s="33"/>
    </row>
    <row r="67" spans="32:33" ht="15" x14ac:dyDescent="0.2">
      <c r="AF67" s="7">
        <v>150</v>
      </c>
      <c r="AG67" s="33"/>
    </row>
    <row r="68" spans="32:33" ht="15" x14ac:dyDescent="0.2">
      <c r="AF68" s="8">
        <v>159</v>
      </c>
      <c r="AG68" s="33"/>
    </row>
    <row r="69" spans="32:33" ht="15" x14ac:dyDescent="0.2">
      <c r="AF69" s="8" t="s">
        <v>75</v>
      </c>
      <c r="AG69" s="33"/>
    </row>
    <row r="70" spans="32:33" ht="15" x14ac:dyDescent="0.2">
      <c r="AF70" s="8">
        <v>160</v>
      </c>
      <c r="AG70" s="33"/>
    </row>
    <row r="71" spans="32:33" ht="15" x14ac:dyDescent="0.2">
      <c r="AF71" s="7" t="s">
        <v>76</v>
      </c>
      <c r="AG71" s="33"/>
    </row>
    <row r="72" spans="32:33" ht="15" x14ac:dyDescent="0.2">
      <c r="AF72" s="7">
        <v>161</v>
      </c>
      <c r="AG72" s="33"/>
    </row>
    <row r="73" spans="32:33" ht="15" x14ac:dyDescent="0.2">
      <c r="AF73" s="7" t="s">
        <v>77</v>
      </c>
      <c r="AG73" s="33"/>
    </row>
    <row r="74" spans="32:33" ht="15" x14ac:dyDescent="0.2">
      <c r="AF74" s="7">
        <v>162</v>
      </c>
      <c r="AG74" s="33"/>
    </row>
    <row r="75" spans="32:33" ht="15" x14ac:dyDescent="0.2">
      <c r="AF75" s="7">
        <v>163</v>
      </c>
      <c r="AG75" s="33"/>
    </row>
    <row r="76" spans="32:33" ht="15" x14ac:dyDescent="0.2">
      <c r="AF76" s="7">
        <v>171</v>
      </c>
      <c r="AG76" s="33"/>
    </row>
    <row r="77" spans="32:33" ht="15" x14ac:dyDescent="0.2">
      <c r="AF77" s="7" t="s">
        <v>78</v>
      </c>
      <c r="AG77" s="33"/>
    </row>
    <row r="78" spans="32:33" ht="15" x14ac:dyDescent="0.2">
      <c r="AF78" s="7">
        <v>172</v>
      </c>
      <c r="AG78" s="33"/>
    </row>
    <row r="79" spans="32:33" ht="15" x14ac:dyDescent="0.2">
      <c r="AF79" s="7" t="s">
        <v>79</v>
      </c>
      <c r="AG79" s="33"/>
    </row>
    <row r="80" spans="32:33" ht="15" x14ac:dyDescent="0.2">
      <c r="AF80" s="7">
        <v>179</v>
      </c>
      <c r="AG80" s="33"/>
    </row>
    <row r="81" spans="32:33" ht="15" x14ac:dyDescent="0.2">
      <c r="AF81" s="7">
        <v>180</v>
      </c>
      <c r="AG81" s="33"/>
    </row>
    <row r="82" spans="32:33" ht="15" x14ac:dyDescent="0.2">
      <c r="AF82" s="7" t="s">
        <v>80</v>
      </c>
      <c r="AG82" s="33"/>
    </row>
    <row r="83" spans="32:33" ht="15" x14ac:dyDescent="0.2">
      <c r="AF83" s="7">
        <v>199</v>
      </c>
      <c r="AG83" s="33"/>
    </row>
    <row r="84" spans="32:33" ht="15" x14ac:dyDescent="0.2">
      <c r="AF84" s="7" t="s">
        <v>81</v>
      </c>
      <c r="AG84" s="33"/>
    </row>
    <row r="85" spans="32:33" ht="15" x14ac:dyDescent="0.2">
      <c r="AF85" s="7">
        <v>200</v>
      </c>
      <c r="AG85" s="33"/>
    </row>
    <row r="86" spans="32:33" ht="15" x14ac:dyDescent="0.2">
      <c r="AF86" s="7" t="s">
        <v>82</v>
      </c>
      <c r="AG86" s="33"/>
    </row>
    <row r="87" spans="32:33" ht="15" x14ac:dyDescent="0.2">
      <c r="AF87" s="7">
        <v>201</v>
      </c>
      <c r="AG87" s="33"/>
    </row>
    <row r="88" spans="32:33" ht="15" x14ac:dyDescent="0.2">
      <c r="AF88" s="7">
        <v>202</v>
      </c>
      <c r="AG88" s="33"/>
    </row>
    <row r="89" spans="32:33" ht="15" x14ac:dyDescent="0.2">
      <c r="AF89" s="7">
        <v>203</v>
      </c>
      <c r="AG89" s="33"/>
    </row>
    <row r="90" spans="32:33" ht="15" x14ac:dyDescent="0.2">
      <c r="AF90" s="7">
        <v>204</v>
      </c>
      <c r="AG90" s="33"/>
    </row>
    <row r="91" spans="32:33" ht="15" x14ac:dyDescent="0.2">
      <c r="AF91" s="10">
        <v>206</v>
      </c>
      <c r="AG91" s="33" t="s">
        <v>151</v>
      </c>
    </row>
    <row r="92" spans="32:33" ht="15" x14ac:dyDescent="0.2">
      <c r="AF92" s="7">
        <v>216</v>
      </c>
      <c r="AG92" s="33"/>
    </row>
    <row r="93" spans="32:33" ht="15" x14ac:dyDescent="0.2">
      <c r="AF93" s="8" t="s">
        <v>83</v>
      </c>
      <c r="AG93" s="33"/>
    </row>
    <row r="94" spans="32:33" ht="15" x14ac:dyDescent="0.2">
      <c r="AF94" s="7">
        <v>219</v>
      </c>
      <c r="AG94" s="33" t="s">
        <v>151</v>
      </c>
    </row>
    <row r="95" spans="32:33" ht="15" x14ac:dyDescent="0.2">
      <c r="AF95" s="7">
        <v>239</v>
      </c>
      <c r="AG95" s="33"/>
    </row>
    <row r="96" spans="32:33" ht="15" x14ac:dyDescent="0.2">
      <c r="AF96" s="7">
        <v>240</v>
      </c>
      <c r="AG96" s="33"/>
    </row>
    <row r="97" spans="32:33" ht="15" x14ac:dyDescent="0.2">
      <c r="AF97" s="7" t="s">
        <v>84</v>
      </c>
      <c r="AG97" s="33"/>
    </row>
    <row r="98" spans="32:33" ht="15" x14ac:dyDescent="0.2">
      <c r="AF98" s="7">
        <v>242</v>
      </c>
      <c r="AG98" s="33"/>
    </row>
    <row r="99" spans="32:33" ht="15" x14ac:dyDescent="0.2">
      <c r="AF99" s="8">
        <v>245</v>
      </c>
      <c r="AG99" s="33"/>
    </row>
    <row r="100" spans="32:33" ht="15" x14ac:dyDescent="0.2">
      <c r="AF100" s="7" t="s">
        <v>85</v>
      </c>
      <c r="AG100" s="33"/>
    </row>
    <row r="101" spans="32:33" ht="15" x14ac:dyDescent="0.2">
      <c r="AF101" s="7">
        <v>250</v>
      </c>
      <c r="AG101" s="33"/>
    </row>
    <row r="102" spans="32:33" ht="15" x14ac:dyDescent="0.2">
      <c r="AF102" s="7">
        <v>300</v>
      </c>
      <c r="AG102" s="33"/>
    </row>
    <row r="103" spans="32:33" ht="15" x14ac:dyDescent="0.2">
      <c r="AF103" s="7">
        <v>302</v>
      </c>
      <c r="AG103" s="33" t="s">
        <v>151</v>
      </c>
    </row>
    <row r="104" spans="32:33" ht="15" x14ac:dyDescent="0.2">
      <c r="AF104" s="7">
        <v>302</v>
      </c>
      <c r="AG104" s="33" t="s">
        <v>151</v>
      </c>
    </row>
    <row r="105" spans="32:33" ht="15" x14ac:dyDescent="0.2">
      <c r="AF105" s="7">
        <v>303</v>
      </c>
      <c r="AG105" s="33"/>
    </row>
    <row r="106" spans="32:33" ht="15" x14ac:dyDescent="0.2">
      <c r="AF106" s="7">
        <v>310</v>
      </c>
      <c r="AG106" s="33"/>
    </row>
    <row r="107" spans="32:33" ht="15" x14ac:dyDescent="0.2">
      <c r="AF107" s="7" t="s">
        <v>86</v>
      </c>
      <c r="AG107" s="33"/>
    </row>
    <row r="108" spans="32:33" ht="15" x14ac:dyDescent="0.2">
      <c r="AF108" s="8">
        <v>316</v>
      </c>
      <c r="AG108" s="33"/>
    </row>
    <row r="109" spans="32:33" ht="15" x14ac:dyDescent="0.2">
      <c r="AF109" s="8" t="s">
        <v>87</v>
      </c>
      <c r="AG109" s="33"/>
    </row>
    <row r="110" spans="32:33" ht="15" x14ac:dyDescent="0.2">
      <c r="AF110" s="8">
        <v>320</v>
      </c>
      <c r="AG110" s="33" t="s">
        <v>151</v>
      </c>
    </row>
    <row r="111" spans="32:33" ht="15" x14ac:dyDescent="0.2">
      <c r="AF111" s="8" t="s">
        <v>88</v>
      </c>
      <c r="AG111" s="33" t="s">
        <v>151</v>
      </c>
    </row>
    <row r="112" spans="32:33" ht="15" x14ac:dyDescent="0.2">
      <c r="AF112" s="8">
        <v>321</v>
      </c>
      <c r="AG112" s="33"/>
    </row>
    <row r="113" spans="32:33" ht="15" x14ac:dyDescent="0.2">
      <c r="AF113" s="7" t="s">
        <v>89</v>
      </c>
      <c r="AG113" s="33"/>
    </row>
    <row r="114" spans="32:33" ht="15" x14ac:dyDescent="0.2">
      <c r="AF114" s="7">
        <v>325</v>
      </c>
      <c r="AG114" s="33"/>
    </row>
    <row r="115" spans="32:33" ht="15" x14ac:dyDescent="0.2">
      <c r="AF115" s="7" t="s">
        <v>90</v>
      </c>
      <c r="AG115" s="33"/>
    </row>
    <row r="116" spans="32:33" ht="15" x14ac:dyDescent="0.2">
      <c r="AF116" s="7">
        <v>327</v>
      </c>
      <c r="AG116" s="33"/>
    </row>
    <row r="117" spans="32:33" ht="15" x14ac:dyDescent="0.2">
      <c r="AF117" s="8" t="s">
        <v>91</v>
      </c>
      <c r="AG117" s="33"/>
    </row>
    <row r="118" spans="32:33" ht="15" x14ac:dyDescent="0.2">
      <c r="AF118" s="8">
        <v>328</v>
      </c>
      <c r="AG118" s="33"/>
    </row>
    <row r="119" spans="32:33" ht="15" x14ac:dyDescent="0.2">
      <c r="AF119" s="8" t="s">
        <v>92</v>
      </c>
      <c r="AG119" s="33"/>
    </row>
    <row r="120" spans="32:33" ht="15" x14ac:dyDescent="0.2">
      <c r="AF120" s="8">
        <v>329</v>
      </c>
      <c r="AG120" s="33"/>
    </row>
    <row r="121" spans="32:33" ht="15" x14ac:dyDescent="0.2">
      <c r="AF121" s="8" t="s">
        <v>93</v>
      </c>
      <c r="AG121" s="33"/>
    </row>
    <row r="122" spans="32:33" ht="15" x14ac:dyDescent="0.2">
      <c r="AF122" s="8">
        <v>330</v>
      </c>
      <c r="AG122" s="33"/>
    </row>
    <row r="123" spans="32:33" ht="15" x14ac:dyDescent="0.2">
      <c r="AF123" s="8" t="s">
        <v>94</v>
      </c>
      <c r="AG123" s="33"/>
    </row>
    <row r="124" spans="32:33" ht="15" x14ac:dyDescent="0.2">
      <c r="AF124" s="8">
        <v>350</v>
      </c>
      <c r="AG124" s="33"/>
    </row>
    <row r="125" spans="32:33" ht="15" x14ac:dyDescent="0.2">
      <c r="AF125" s="7" t="s">
        <v>95</v>
      </c>
      <c r="AG125" s="33"/>
    </row>
    <row r="126" spans="32:33" ht="15" x14ac:dyDescent="0.2">
      <c r="AF126" s="7">
        <v>360</v>
      </c>
      <c r="AG126" s="33"/>
    </row>
    <row r="127" spans="32:33" ht="15" x14ac:dyDescent="0.2">
      <c r="AF127" s="8" t="s">
        <v>96</v>
      </c>
      <c r="AG127" s="33"/>
    </row>
    <row r="128" spans="32:33" ht="15" x14ac:dyDescent="0.2">
      <c r="AF128" s="8">
        <v>380</v>
      </c>
      <c r="AG128" s="33"/>
    </row>
    <row r="129" spans="32:33" ht="15" x14ac:dyDescent="0.2">
      <c r="AF129" s="8" t="s">
        <v>97</v>
      </c>
      <c r="AG129" s="33"/>
    </row>
    <row r="130" spans="32:33" ht="15" x14ac:dyDescent="0.2">
      <c r="AF130" s="8">
        <v>390</v>
      </c>
      <c r="AG130" s="33"/>
    </row>
    <row r="131" spans="32:33" ht="15" x14ac:dyDescent="0.2">
      <c r="AF131" s="8" t="s">
        <v>98</v>
      </c>
      <c r="AG131" s="33"/>
    </row>
    <row r="132" spans="32:33" ht="15" x14ac:dyDescent="0.2">
      <c r="AF132" s="8">
        <v>395</v>
      </c>
      <c r="AG132" s="33"/>
    </row>
    <row r="133" spans="32:33" ht="15" x14ac:dyDescent="0.2">
      <c r="AF133" s="8" t="s">
        <v>99</v>
      </c>
      <c r="AG133" s="33"/>
    </row>
    <row r="134" spans="32:33" ht="15" x14ac:dyDescent="0.2">
      <c r="AF134" s="7">
        <v>400</v>
      </c>
      <c r="AG134" s="33"/>
    </row>
    <row r="135" spans="32:33" ht="15" x14ac:dyDescent="0.2">
      <c r="AF135" s="7" t="s">
        <v>100</v>
      </c>
      <c r="AG135" s="33"/>
    </row>
    <row r="136" spans="32:33" ht="15" x14ac:dyDescent="0.2">
      <c r="AF136" s="8">
        <v>401</v>
      </c>
      <c r="AG136" s="33"/>
    </row>
    <row r="137" spans="32:33" ht="15" x14ac:dyDescent="0.2">
      <c r="AF137" s="7">
        <v>405</v>
      </c>
      <c r="AG137" s="33"/>
    </row>
    <row r="138" spans="32:33" ht="15" x14ac:dyDescent="0.2">
      <c r="AF138" s="7" t="s">
        <v>101</v>
      </c>
      <c r="AG138" s="33"/>
    </row>
    <row r="139" spans="32:33" ht="15" x14ac:dyDescent="0.2">
      <c r="AF139" s="7">
        <v>411</v>
      </c>
      <c r="AG139" s="33"/>
    </row>
    <row r="140" spans="32:33" ht="15" x14ac:dyDescent="0.2">
      <c r="AF140" s="7">
        <v>429</v>
      </c>
      <c r="AG140" s="33"/>
    </row>
    <row r="141" spans="32:33" ht="15" x14ac:dyDescent="0.2">
      <c r="AF141" s="7" t="s">
        <v>102</v>
      </c>
      <c r="AG141" s="33"/>
    </row>
    <row r="142" spans="32:33" ht="15" x14ac:dyDescent="0.2">
      <c r="AF142" s="7">
        <v>430</v>
      </c>
      <c r="AG142" s="33"/>
    </row>
    <row r="143" spans="32:33" ht="15" x14ac:dyDescent="0.2">
      <c r="AF143" s="7" t="s">
        <v>103</v>
      </c>
      <c r="AG143" s="33"/>
    </row>
    <row r="144" spans="32:33" ht="15" x14ac:dyDescent="0.2">
      <c r="AF144" s="8">
        <v>450</v>
      </c>
      <c r="AG144" s="33" t="s">
        <v>151</v>
      </c>
    </row>
    <row r="145" spans="32:33" ht="15" x14ac:dyDescent="0.2">
      <c r="AF145" s="7" t="s">
        <v>104</v>
      </c>
      <c r="AG145" s="33" t="s">
        <v>151</v>
      </c>
    </row>
    <row r="146" spans="32:33" ht="15" x14ac:dyDescent="0.2">
      <c r="AF146" s="7">
        <v>499</v>
      </c>
      <c r="AG146" s="33"/>
    </row>
    <row r="147" spans="32:33" ht="15" x14ac:dyDescent="0.2">
      <c r="AF147" s="7" t="s">
        <v>105</v>
      </c>
      <c r="AG147" s="33"/>
    </row>
    <row r="148" spans="32:33" ht="15" x14ac:dyDescent="0.2">
      <c r="AF148" s="7">
        <v>500</v>
      </c>
      <c r="AG148" s="33"/>
    </row>
    <row r="149" spans="32:33" ht="15" x14ac:dyDescent="0.2">
      <c r="AF149" s="8" t="s">
        <v>106</v>
      </c>
      <c r="AG149" s="33"/>
    </row>
    <row r="150" spans="32:33" ht="15" x14ac:dyDescent="0.2">
      <c r="AF150" s="7">
        <v>501</v>
      </c>
      <c r="AG150" s="33"/>
    </row>
    <row r="151" spans="32:33" ht="15" x14ac:dyDescent="0.2">
      <c r="AF151" s="7">
        <v>501</v>
      </c>
      <c r="AG151" s="33"/>
    </row>
    <row r="152" spans="32:33" ht="15" x14ac:dyDescent="0.2">
      <c r="AF152" s="7">
        <v>502</v>
      </c>
      <c r="AG152" s="33"/>
    </row>
    <row r="153" spans="32:33" ht="15" x14ac:dyDescent="0.2">
      <c r="AF153" s="7" t="s">
        <v>107</v>
      </c>
      <c r="AG153" s="33"/>
    </row>
    <row r="154" spans="32:33" ht="15" x14ac:dyDescent="0.2">
      <c r="AF154" s="7">
        <v>550</v>
      </c>
      <c r="AG154" s="33"/>
    </row>
    <row r="155" spans="32:33" ht="15" x14ac:dyDescent="0.2">
      <c r="AF155" s="7" t="s">
        <v>108</v>
      </c>
      <c r="AG155" s="33"/>
    </row>
    <row r="156" spans="32:33" ht="15" x14ac:dyDescent="0.2">
      <c r="AF156" s="8">
        <v>570</v>
      </c>
      <c r="AG156" s="33"/>
    </row>
    <row r="157" spans="32:33" ht="15" x14ac:dyDescent="0.2">
      <c r="AF157" s="8" t="s">
        <v>109</v>
      </c>
      <c r="AG157" s="33"/>
    </row>
    <row r="158" spans="32:33" ht="15" x14ac:dyDescent="0.2">
      <c r="AF158" s="8">
        <v>580</v>
      </c>
      <c r="AG158" s="33" t="s">
        <v>151</v>
      </c>
    </row>
    <row r="159" spans="32:33" ht="15" x14ac:dyDescent="0.2">
      <c r="AF159" s="8" t="s">
        <v>110</v>
      </c>
      <c r="AG159" s="33" t="s">
        <v>151</v>
      </c>
    </row>
    <row r="160" spans="32:33" ht="15" x14ac:dyDescent="0.2">
      <c r="AF160" s="7">
        <v>581</v>
      </c>
      <c r="AG160" s="33"/>
    </row>
    <row r="161" spans="32:33" ht="15" x14ac:dyDescent="0.2">
      <c r="AF161" s="7" t="s">
        <v>111</v>
      </c>
      <c r="AG161" s="33"/>
    </row>
    <row r="162" spans="32:33" ht="15" x14ac:dyDescent="0.2">
      <c r="AF162" s="7">
        <v>582</v>
      </c>
      <c r="AG162" s="33"/>
    </row>
    <row r="163" spans="32:33" ht="15" x14ac:dyDescent="0.2">
      <c r="AF163" s="7" t="s">
        <v>112</v>
      </c>
      <c r="AG163" s="33"/>
    </row>
    <row r="164" spans="32:33" ht="15" x14ac:dyDescent="0.2">
      <c r="AF164" s="8">
        <v>590</v>
      </c>
      <c r="AG164" s="33"/>
    </row>
    <row r="165" spans="32:33" ht="15" x14ac:dyDescent="0.2">
      <c r="AF165" s="7" t="s">
        <v>113</v>
      </c>
      <c r="AG165" s="33"/>
    </row>
    <row r="166" spans="32:33" ht="15" x14ac:dyDescent="0.2">
      <c r="AF166" s="8">
        <v>595</v>
      </c>
      <c r="AG166" s="33"/>
    </row>
    <row r="167" spans="32:33" ht="15" x14ac:dyDescent="0.2">
      <c r="AF167" s="7" t="s">
        <v>114</v>
      </c>
      <c r="AG167" s="33"/>
    </row>
    <row r="168" spans="32:33" ht="15" x14ac:dyDescent="0.2">
      <c r="AF168" s="7">
        <v>600</v>
      </c>
      <c r="AG168" s="33"/>
    </row>
    <row r="169" spans="32:33" ht="15" x14ac:dyDescent="0.2">
      <c r="AF169" s="7" t="s">
        <v>115</v>
      </c>
      <c r="AG169" s="33"/>
    </row>
    <row r="170" spans="32:33" ht="15" x14ac:dyDescent="0.2">
      <c r="AF170" s="7">
        <v>601</v>
      </c>
      <c r="AG170" s="33"/>
    </row>
    <row r="171" spans="32:33" ht="15" x14ac:dyDescent="0.2">
      <c r="AF171" s="7" t="s">
        <v>116</v>
      </c>
      <c r="AG171" s="33"/>
    </row>
    <row r="172" spans="32:33" ht="15" x14ac:dyDescent="0.2">
      <c r="AF172" s="7">
        <v>605</v>
      </c>
      <c r="AG172" s="33"/>
    </row>
    <row r="173" spans="32:33" ht="15" x14ac:dyDescent="0.2">
      <c r="AF173" s="7" t="s">
        <v>117</v>
      </c>
      <c r="AG173" s="33"/>
    </row>
    <row r="174" spans="32:33" ht="15" x14ac:dyDescent="0.2">
      <c r="AF174" s="7">
        <v>640</v>
      </c>
      <c r="AG174" s="33"/>
    </row>
    <row r="175" spans="32:33" ht="15" x14ac:dyDescent="0.2">
      <c r="AF175" s="7" t="s">
        <v>118</v>
      </c>
      <c r="AG175" s="33"/>
    </row>
    <row r="176" spans="32:33" ht="15" x14ac:dyDescent="0.2">
      <c r="AF176" s="7">
        <v>650</v>
      </c>
      <c r="AG176" s="33"/>
    </row>
    <row r="177" spans="32:33" ht="15" x14ac:dyDescent="0.2">
      <c r="AF177" s="7" t="s">
        <v>119</v>
      </c>
      <c r="AG177" s="33"/>
    </row>
    <row r="178" spans="32:33" ht="15" x14ac:dyDescent="0.2">
      <c r="AF178" s="7">
        <v>690</v>
      </c>
      <c r="AG178" s="33"/>
    </row>
    <row r="179" spans="32:33" ht="15" x14ac:dyDescent="0.2">
      <c r="AF179" s="7" t="s">
        <v>120</v>
      </c>
      <c r="AG179" s="33"/>
    </row>
    <row r="180" spans="32:33" ht="15" x14ac:dyDescent="0.2">
      <c r="AF180" s="7">
        <v>700</v>
      </c>
      <c r="AG180" s="33" t="s">
        <v>151</v>
      </c>
    </row>
    <row r="181" spans="32:33" ht="15" x14ac:dyDescent="0.2">
      <c r="AF181" s="7">
        <v>701</v>
      </c>
      <c r="AG181" s="33" t="s">
        <v>151</v>
      </c>
    </row>
    <row r="182" spans="32:33" ht="15" x14ac:dyDescent="0.2">
      <c r="AF182" s="7">
        <v>710</v>
      </c>
      <c r="AG182" s="33"/>
    </row>
    <row r="183" spans="32:33" ht="15" x14ac:dyDescent="0.2">
      <c r="AF183" s="7" t="s">
        <v>121</v>
      </c>
      <c r="AG183" s="33"/>
    </row>
    <row r="184" spans="32:33" ht="15" x14ac:dyDescent="0.2">
      <c r="AF184" s="7">
        <v>711</v>
      </c>
      <c r="AG184" s="33"/>
    </row>
    <row r="185" spans="32:33" ht="15" x14ac:dyDescent="0.2">
      <c r="AF185" s="7" t="s">
        <v>122</v>
      </c>
      <c r="AG185" s="33"/>
    </row>
    <row r="186" spans="32:33" ht="15" x14ac:dyDescent="0.2">
      <c r="AF186" s="7">
        <v>720</v>
      </c>
      <c r="AG186" s="33"/>
    </row>
    <row r="187" spans="32:33" ht="15" x14ac:dyDescent="0.2">
      <c r="AF187" s="8" t="s">
        <v>123</v>
      </c>
      <c r="AG187" s="33"/>
    </row>
    <row r="188" spans="32:33" ht="15" x14ac:dyDescent="0.2">
      <c r="AF188" s="7">
        <v>721</v>
      </c>
      <c r="AG188" s="33"/>
    </row>
    <row r="189" spans="32:33" ht="15" x14ac:dyDescent="0.2">
      <c r="AF189" s="7" t="s">
        <v>124</v>
      </c>
      <c r="AG189" s="33"/>
    </row>
    <row r="190" spans="32:33" ht="15" x14ac:dyDescent="0.2">
      <c r="AF190" s="7">
        <v>730</v>
      </c>
      <c r="AG190" s="33"/>
    </row>
    <row r="191" spans="32:33" ht="15" x14ac:dyDescent="0.2">
      <c r="AF191" s="7" t="s">
        <v>125</v>
      </c>
      <c r="AG191" s="33"/>
    </row>
    <row r="192" spans="32:33" ht="15" x14ac:dyDescent="0.2">
      <c r="AF192" s="7">
        <v>750</v>
      </c>
      <c r="AG192" s="33"/>
    </row>
    <row r="193" spans="32:33" ht="15" x14ac:dyDescent="0.2">
      <c r="AF193" s="8" t="s">
        <v>126</v>
      </c>
      <c r="AG193" s="33"/>
    </row>
    <row r="194" spans="32:33" ht="15" x14ac:dyDescent="0.2">
      <c r="AF194" s="7">
        <v>760</v>
      </c>
      <c r="AG194" s="33"/>
    </row>
    <row r="195" spans="32:33" ht="15" x14ac:dyDescent="0.2">
      <c r="AF195" s="7" t="s">
        <v>127</v>
      </c>
      <c r="AG195" s="33"/>
    </row>
    <row r="196" spans="32:33" ht="15" x14ac:dyDescent="0.2">
      <c r="AF196" s="7">
        <v>770</v>
      </c>
      <c r="AG196" s="33"/>
    </row>
    <row r="197" spans="32:33" ht="15" x14ac:dyDescent="0.2">
      <c r="AF197" s="7" t="s">
        <v>128</v>
      </c>
      <c r="AG197" s="33"/>
    </row>
    <row r="198" spans="32:33" ht="15" x14ac:dyDescent="0.2">
      <c r="AF198" s="7">
        <v>800</v>
      </c>
      <c r="AG198" s="33"/>
    </row>
    <row r="199" spans="32:33" ht="15" x14ac:dyDescent="0.2">
      <c r="AF199" s="7" t="s">
        <v>129</v>
      </c>
      <c r="AG199" s="33"/>
    </row>
    <row r="200" spans="32:33" ht="15" x14ac:dyDescent="0.2">
      <c r="AF200" s="9">
        <v>810</v>
      </c>
      <c r="AG200" s="33"/>
    </row>
    <row r="201" spans="32:33" ht="15" x14ac:dyDescent="0.2">
      <c r="AF201" s="7">
        <v>815</v>
      </c>
      <c r="AG201" s="33"/>
    </row>
    <row r="202" spans="32:33" ht="15" x14ac:dyDescent="0.2">
      <c r="AF202" s="7">
        <v>816</v>
      </c>
      <c r="AG202" s="33"/>
    </row>
    <row r="203" spans="32:33" ht="15" x14ac:dyDescent="0.2">
      <c r="AF203" s="8">
        <v>817</v>
      </c>
      <c r="AG203" s="33"/>
    </row>
    <row r="204" spans="32:33" ht="15" x14ac:dyDescent="0.2">
      <c r="AF204" s="7">
        <v>818</v>
      </c>
      <c r="AG204" s="33"/>
    </row>
    <row r="205" spans="32:33" ht="15" x14ac:dyDescent="0.2">
      <c r="AF205" s="11">
        <v>819</v>
      </c>
      <c r="AG205" s="33"/>
    </row>
    <row r="206" spans="32:33" ht="15" x14ac:dyDescent="0.2">
      <c r="AF206" s="12">
        <v>820</v>
      </c>
      <c r="AG206" s="33" t="s">
        <v>151</v>
      </c>
    </row>
    <row r="207" spans="32:33" ht="15" x14ac:dyDescent="0.2">
      <c r="AF207" s="12">
        <v>830</v>
      </c>
      <c r="AG207" s="33"/>
    </row>
    <row r="208" spans="32:33" ht="15" x14ac:dyDescent="0.2">
      <c r="AF208" s="13" t="s">
        <v>130</v>
      </c>
      <c r="AG208" s="33"/>
    </row>
    <row r="209" spans="32:33" ht="15" x14ac:dyDescent="0.2">
      <c r="AF209" s="12">
        <v>840</v>
      </c>
      <c r="AG209" s="33" t="s">
        <v>151</v>
      </c>
    </row>
    <row r="210" spans="32:33" ht="15" x14ac:dyDescent="0.2">
      <c r="AF210" s="12">
        <v>841</v>
      </c>
      <c r="AG210" s="33"/>
    </row>
    <row r="211" spans="32:33" ht="15" x14ac:dyDescent="0.2">
      <c r="AF211" s="12" t="s">
        <v>131</v>
      </c>
      <c r="AG211" s="33"/>
    </row>
    <row r="212" spans="32:33" ht="15" x14ac:dyDescent="0.2">
      <c r="AF212" s="12">
        <v>845</v>
      </c>
      <c r="AG212" s="33"/>
    </row>
    <row r="213" spans="32:33" ht="15" x14ac:dyDescent="0.2">
      <c r="AF213" s="12" t="s">
        <v>132</v>
      </c>
      <c r="AG213" s="33"/>
    </row>
    <row r="214" spans="32:33" ht="15" x14ac:dyDescent="0.2">
      <c r="AF214" s="12">
        <v>850</v>
      </c>
      <c r="AG214" s="33"/>
    </row>
    <row r="215" spans="32:33" ht="15" x14ac:dyDescent="0.2">
      <c r="AF215" s="14">
        <v>852</v>
      </c>
      <c r="AG215" s="33"/>
    </row>
    <row r="216" spans="32:33" ht="15" x14ac:dyDescent="0.2">
      <c r="AF216" s="14" t="s">
        <v>133</v>
      </c>
      <c r="AG216" s="33"/>
    </row>
    <row r="217" spans="32:33" ht="15" x14ac:dyDescent="0.2">
      <c r="AF217" s="14">
        <v>853</v>
      </c>
      <c r="AG217" s="33"/>
    </row>
    <row r="218" spans="32:33" ht="15" x14ac:dyDescent="0.2">
      <c r="AF218" s="14" t="s">
        <v>134</v>
      </c>
      <c r="AG218" s="33"/>
    </row>
    <row r="219" spans="32:33" ht="15" x14ac:dyDescent="0.2">
      <c r="AF219" s="14">
        <v>854</v>
      </c>
      <c r="AG219" s="33"/>
    </row>
    <row r="220" spans="32:33" ht="15" x14ac:dyDescent="0.2">
      <c r="AF220" s="14" t="s">
        <v>135</v>
      </c>
      <c r="AG220" s="33"/>
    </row>
    <row r="221" spans="32:33" ht="15" x14ac:dyDescent="0.2">
      <c r="AF221" s="14">
        <v>855</v>
      </c>
      <c r="AG221" s="33"/>
    </row>
    <row r="222" spans="32:33" ht="15" x14ac:dyDescent="0.2">
      <c r="AF222" s="14" t="s">
        <v>136</v>
      </c>
      <c r="AG222" s="33"/>
    </row>
    <row r="223" spans="32:33" ht="15" x14ac:dyDescent="0.2">
      <c r="AF223" s="14">
        <v>870</v>
      </c>
      <c r="AG223" s="33"/>
    </row>
    <row r="224" spans="32:33" ht="15" x14ac:dyDescent="0.2">
      <c r="AF224" s="14" t="s">
        <v>137</v>
      </c>
      <c r="AG224" s="33"/>
    </row>
    <row r="225" spans="32:33" ht="15" x14ac:dyDescent="0.2">
      <c r="AF225" s="14">
        <v>880</v>
      </c>
      <c r="AG225" s="33"/>
    </row>
    <row r="226" spans="32:33" ht="15" x14ac:dyDescent="0.2">
      <c r="AF226" s="14" t="s">
        <v>138</v>
      </c>
      <c r="AG226" s="33"/>
    </row>
    <row r="227" spans="32:33" ht="15" x14ac:dyDescent="0.2">
      <c r="AF227" s="14">
        <v>881</v>
      </c>
      <c r="AG227" s="33"/>
    </row>
    <row r="228" spans="32:33" ht="15" x14ac:dyDescent="0.2">
      <c r="AF228" s="14">
        <v>890</v>
      </c>
      <c r="AG228" s="33"/>
    </row>
    <row r="229" spans="32:33" ht="15" x14ac:dyDescent="0.2">
      <c r="AF229" s="14">
        <v>901</v>
      </c>
      <c r="AG229" s="33"/>
    </row>
    <row r="230" spans="32:33" ht="15" x14ac:dyDescent="0.2">
      <c r="AF230" s="14" t="s">
        <v>139</v>
      </c>
      <c r="AG230" s="33"/>
    </row>
    <row r="231" spans="32:33" ht="15" x14ac:dyDescent="0.2">
      <c r="AF231" s="14">
        <v>911</v>
      </c>
      <c r="AG231" s="33"/>
    </row>
    <row r="232" spans="32:33" ht="15" x14ac:dyDescent="0.2">
      <c r="AF232" s="14" t="s">
        <v>140</v>
      </c>
      <c r="AG232" s="33"/>
    </row>
    <row r="233" spans="32:33" ht="15" x14ac:dyDescent="0.2">
      <c r="AF233" s="14">
        <v>1010</v>
      </c>
      <c r="AG233" s="33"/>
    </row>
    <row r="234" spans="32:33" ht="15" x14ac:dyDescent="0.2">
      <c r="AF234" s="14">
        <v>1011</v>
      </c>
      <c r="AG234" s="33"/>
    </row>
    <row r="235" spans="32:33" ht="15" x14ac:dyDescent="0.2">
      <c r="AF235" s="14">
        <v>1012</v>
      </c>
      <c r="AG235" s="33"/>
    </row>
    <row r="236" spans="32:33" ht="15" x14ac:dyDescent="0.2">
      <c r="AF236" s="14">
        <v>1013</v>
      </c>
      <c r="AG236" s="33"/>
    </row>
    <row r="237" spans="32:33" ht="15" x14ac:dyDescent="0.2">
      <c r="AF237" s="14">
        <v>1400</v>
      </c>
      <c r="AG237" s="33"/>
    </row>
    <row r="238" spans="32:33" ht="15" x14ac:dyDescent="0.2">
      <c r="AF238" s="14">
        <v>1460</v>
      </c>
      <c r="AG238" s="33"/>
    </row>
    <row r="239" spans="32:33" ht="15" x14ac:dyDescent="0.2">
      <c r="AF239" s="14">
        <v>2013</v>
      </c>
      <c r="AG239" s="33" t="s">
        <v>151</v>
      </c>
    </row>
    <row r="240" spans="32:33" ht="15" x14ac:dyDescent="0.2">
      <c r="AF240" s="14" t="s">
        <v>141</v>
      </c>
      <c r="AG240" s="33" t="s">
        <v>151</v>
      </c>
    </row>
    <row r="241" spans="32:33" ht="15" x14ac:dyDescent="0.2">
      <c r="AF241" s="14">
        <v>2014</v>
      </c>
      <c r="AG241" s="33" t="s">
        <v>151</v>
      </c>
    </row>
    <row r="242" spans="32:33" ht="15" x14ac:dyDescent="0.2">
      <c r="AF242" s="14">
        <v>2130</v>
      </c>
      <c r="AG242" s="33"/>
    </row>
    <row r="243" spans="32:33" ht="15" x14ac:dyDescent="0.2">
      <c r="AF243" s="14" t="s">
        <v>142</v>
      </c>
      <c r="AG243" s="33"/>
    </row>
    <row r="244" spans="32:33" ht="15" x14ac:dyDescent="0.2">
      <c r="AF244" s="14">
        <v>2131</v>
      </c>
      <c r="AG244" s="33"/>
    </row>
    <row r="245" spans="32:33" ht="15" x14ac:dyDescent="0.2">
      <c r="AF245" s="14" t="s">
        <v>143</v>
      </c>
      <c r="AG245" s="33"/>
    </row>
    <row r="246" spans="32:33" ht="15" x14ac:dyDescent="0.2">
      <c r="AF246" s="14">
        <v>2134</v>
      </c>
      <c r="AG246" s="33"/>
    </row>
    <row r="247" spans="32:33" ht="15" x14ac:dyDescent="0.2">
      <c r="AF247" s="14" t="s">
        <v>144</v>
      </c>
      <c r="AG247" s="33"/>
    </row>
    <row r="248" spans="32:33" ht="15" x14ac:dyDescent="0.2">
      <c r="AF248" s="14">
        <v>2226</v>
      </c>
      <c r="AG248" s="33"/>
    </row>
    <row r="249" spans="32:33" ht="15" x14ac:dyDescent="0.2">
      <c r="AF249" s="14" t="s">
        <v>145</v>
      </c>
      <c r="AG249" s="33"/>
    </row>
    <row r="250" spans="32:33" ht="15" x14ac:dyDescent="0.2">
      <c r="AF250" s="14">
        <v>4130</v>
      </c>
      <c r="AG250" s="33"/>
    </row>
    <row r="251" spans="32:33" ht="15" x14ac:dyDescent="0.2">
      <c r="AF251" s="14" t="s">
        <v>146</v>
      </c>
      <c r="AG251" s="33"/>
    </row>
    <row r="252" spans="32:33" ht="15" x14ac:dyDescent="0.2">
      <c r="AF252" s="14">
        <v>4131</v>
      </c>
      <c r="AG252" s="33"/>
    </row>
    <row r="253" spans="32:33" ht="15" x14ac:dyDescent="0.2">
      <c r="AF253" s="14" t="s">
        <v>147</v>
      </c>
      <c r="AG253" s="33"/>
    </row>
    <row r="254" spans="32:33" ht="15" x14ac:dyDescent="0.2">
      <c r="AF254" s="14">
        <v>5400</v>
      </c>
      <c r="AG254" s="33"/>
    </row>
    <row r="255" spans="32:33" ht="15" x14ac:dyDescent="0.2">
      <c r="AF255" s="14">
        <v>5403</v>
      </c>
      <c r="AG255" s="33"/>
    </row>
  </sheetData>
  <sheetProtection algorithmName="SHA-512" hashValue="pEK+8xHgcMXE/SZU+W41WHGOvQTW656CM+4M+poRpIMHM1ry6RGZOOg9WImvhMr1vAaPKufTn1JfkKcTqAfUHg==" saltValue="xLOC5RpxWhjMfzoxIXsq3A==" spinCount="100000" sheet="1" objects="1" scenarios="1"/>
  <sortState ref="A20:Q29">
    <sortCondition ref="A20"/>
  </sortState>
  <mergeCells count="82">
    <mergeCell ref="U12:X12"/>
    <mergeCell ref="L9:P9"/>
    <mergeCell ref="U9:X9"/>
    <mergeCell ref="Q9:T9"/>
    <mergeCell ref="U8:X8"/>
    <mergeCell ref="N8:P8"/>
    <mergeCell ref="C8:M8"/>
    <mergeCell ref="Q8:T8"/>
    <mergeCell ref="A10:K11"/>
    <mergeCell ref="A9:K9"/>
    <mergeCell ref="Q10:T10"/>
    <mergeCell ref="Z9:AB9"/>
    <mergeCell ref="U11:X11"/>
    <mergeCell ref="A7:B7"/>
    <mergeCell ref="A8:B8"/>
    <mergeCell ref="Z8:AB8"/>
    <mergeCell ref="Y11:AB11"/>
    <mergeCell ref="C7:L7"/>
    <mergeCell ref="Q7:T7"/>
    <mergeCell ref="W7:AB7"/>
    <mergeCell ref="Z10:AB10"/>
    <mergeCell ref="U7:V7"/>
    <mergeCell ref="A50:C50"/>
    <mergeCell ref="D50:AB50"/>
    <mergeCell ref="A45:V49"/>
    <mergeCell ref="AB48:AB49"/>
    <mergeCell ref="AA48:AA49"/>
    <mergeCell ref="W45:X45"/>
    <mergeCell ref="W46:Z49"/>
    <mergeCell ref="B23:K23"/>
    <mergeCell ref="B24:K24"/>
    <mergeCell ref="B25:K25"/>
    <mergeCell ref="B26:K26"/>
    <mergeCell ref="B27:K27"/>
    <mergeCell ref="B28:K28"/>
    <mergeCell ref="A1:AB1"/>
    <mergeCell ref="A4:B4"/>
    <mergeCell ref="A5:B5"/>
    <mergeCell ref="A6:B6"/>
    <mergeCell ref="C3:AB3"/>
    <mergeCell ref="C4:AB4"/>
    <mergeCell ref="O5:R5"/>
    <mergeCell ref="B2:E2"/>
    <mergeCell ref="A3:B3"/>
    <mergeCell ref="F2:M2"/>
    <mergeCell ref="N2:Z2"/>
    <mergeCell ref="AA6:AB6"/>
    <mergeCell ref="L6:P6"/>
    <mergeCell ref="Q6:R6"/>
    <mergeCell ref="S6:W6"/>
    <mergeCell ref="X6:Z6"/>
    <mergeCell ref="S5:Z5"/>
    <mergeCell ref="C5:N5"/>
    <mergeCell ref="C6:G6"/>
    <mergeCell ref="H6:K6"/>
    <mergeCell ref="B32:K32"/>
    <mergeCell ref="B44:K44"/>
    <mergeCell ref="B43:K43"/>
    <mergeCell ref="B42:K42"/>
    <mergeCell ref="B33:K33"/>
    <mergeCell ref="B34:K34"/>
    <mergeCell ref="B35:K35"/>
    <mergeCell ref="B36:K36"/>
    <mergeCell ref="B37:K37"/>
    <mergeCell ref="B38:K38"/>
    <mergeCell ref="B39:K39"/>
    <mergeCell ref="B17:K17"/>
    <mergeCell ref="B40:K40"/>
    <mergeCell ref="B41:K41"/>
    <mergeCell ref="B12:K12"/>
    <mergeCell ref="B13:K13"/>
    <mergeCell ref="B14:K14"/>
    <mergeCell ref="B15:K15"/>
    <mergeCell ref="B16:K16"/>
    <mergeCell ref="B20:K20"/>
    <mergeCell ref="B21:K21"/>
    <mergeCell ref="B22:K22"/>
    <mergeCell ref="B18:K18"/>
    <mergeCell ref="B19:K19"/>
    <mergeCell ref="B29:K29"/>
    <mergeCell ref="B30:K30"/>
    <mergeCell ref="B31:K31"/>
  </mergeCells>
  <phoneticPr fontId="0" type="noConversion"/>
  <conditionalFormatting sqref="C8">
    <cfRule type="expression" priority="2">
      <formula>$C$7</formula>
    </cfRule>
  </conditionalFormatting>
  <conditionalFormatting sqref="Q8">
    <cfRule type="expression" priority="1">
      <formula>$C$7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6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83"/>
  <sheetViews>
    <sheetView topLeftCell="A195" workbookViewId="0">
      <selection activeCell="F227" sqref="F227"/>
    </sheetView>
  </sheetViews>
  <sheetFormatPr defaultRowHeight="14.25" x14ac:dyDescent="0.2"/>
  <cols>
    <col min="1" max="1" width="12" style="87" bestFit="1" customWidth="1"/>
    <col min="2" max="2" width="15.42578125" style="2" bestFit="1" customWidth="1"/>
    <col min="3" max="3" width="6.5703125" style="3" customWidth="1"/>
    <col min="4" max="4" width="4" style="3" bestFit="1" customWidth="1"/>
    <col min="5" max="5" width="7.5703125" style="3" customWidth="1"/>
    <col min="6" max="6" width="14.7109375" style="93" customWidth="1"/>
    <col min="7" max="7" width="5.7109375" style="1" customWidth="1"/>
    <col min="8" max="9" width="5.7109375" style="1" hidden="1" customWidth="1"/>
    <col min="10" max="10" width="20.140625" style="1" hidden="1" customWidth="1"/>
    <col min="11" max="16384" width="9.140625" style="1"/>
  </cols>
  <sheetData>
    <row r="1" spans="1:10" x14ac:dyDescent="0.2">
      <c r="A1" s="84">
        <v>2201</v>
      </c>
      <c r="B1" s="33"/>
      <c r="C1" s="34"/>
      <c r="D1" s="34"/>
      <c r="E1" s="35"/>
      <c r="F1" s="92">
        <v>84.9</v>
      </c>
      <c r="H1" s="5" t="s">
        <v>24</v>
      </c>
      <c r="I1" s="4"/>
      <c r="J1" s="1" t="s">
        <v>44</v>
      </c>
    </row>
    <row r="2" spans="1:10" x14ac:dyDescent="0.2">
      <c r="A2" s="84" t="s">
        <v>162</v>
      </c>
      <c r="B2" s="33"/>
      <c r="C2" s="34"/>
      <c r="D2" s="34"/>
      <c r="E2" s="35"/>
      <c r="F2" s="92">
        <v>93.9</v>
      </c>
      <c r="H2" s="5" t="s">
        <v>25</v>
      </c>
      <c r="I2" s="4"/>
      <c r="J2" s="1" t="s">
        <v>47</v>
      </c>
    </row>
    <row r="3" spans="1:10" x14ac:dyDescent="0.2">
      <c r="A3" s="84">
        <v>2202</v>
      </c>
      <c r="B3" s="33"/>
      <c r="C3" s="34"/>
      <c r="D3" s="34"/>
      <c r="E3" s="35"/>
      <c r="F3" s="92">
        <v>72.900000000000006</v>
      </c>
      <c r="H3" s="5"/>
      <c r="I3" s="4"/>
    </row>
    <row r="4" spans="1:10" x14ac:dyDescent="0.2">
      <c r="A4" s="84">
        <v>2203</v>
      </c>
      <c r="B4" s="33"/>
      <c r="C4" s="34"/>
      <c r="D4" s="34"/>
      <c r="E4" s="35"/>
      <c r="F4" s="92">
        <v>82.9</v>
      </c>
      <c r="H4" s="5"/>
      <c r="I4" s="4"/>
    </row>
    <row r="5" spans="1:10" x14ac:dyDescent="0.2">
      <c r="A5" s="84">
        <v>2204</v>
      </c>
      <c r="B5" s="33"/>
      <c r="C5" s="34"/>
      <c r="D5" s="34"/>
      <c r="E5" s="35"/>
      <c r="F5" s="92">
        <v>115.9</v>
      </c>
      <c r="H5" s="5"/>
      <c r="I5" s="4"/>
    </row>
    <row r="6" spans="1:10" x14ac:dyDescent="0.2">
      <c r="A6" s="84" t="s">
        <v>163</v>
      </c>
      <c r="B6" s="33"/>
      <c r="C6" s="34"/>
      <c r="D6" s="34"/>
      <c r="E6" s="35"/>
      <c r="F6" s="92">
        <v>120.9</v>
      </c>
      <c r="H6" s="5"/>
      <c r="I6" s="4"/>
    </row>
    <row r="7" spans="1:10" x14ac:dyDescent="0.2">
      <c r="A7" s="84">
        <v>2205</v>
      </c>
      <c r="B7" s="33"/>
      <c r="C7" s="34"/>
      <c r="D7" s="34"/>
      <c r="E7" s="35"/>
      <c r="F7" s="92">
        <v>91.9</v>
      </c>
      <c r="H7" s="5" t="s">
        <v>31</v>
      </c>
      <c r="I7" s="4" t="s">
        <v>45</v>
      </c>
      <c r="J7" s="1" t="s">
        <v>46</v>
      </c>
    </row>
    <row r="8" spans="1:10" x14ac:dyDescent="0.2">
      <c r="A8" s="84" t="s">
        <v>164</v>
      </c>
      <c r="B8" s="33"/>
      <c r="C8" s="34"/>
      <c r="D8" s="34"/>
      <c r="E8" s="35"/>
      <c r="F8" s="92">
        <v>100</v>
      </c>
      <c r="H8" s="5" t="s">
        <v>26</v>
      </c>
      <c r="I8" s="4" t="s">
        <v>34</v>
      </c>
    </row>
    <row r="9" spans="1:10" x14ac:dyDescent="0.2">
      <c r="A9" s="84">
        <v>2206</v>
      </c>
      <c r="B9" s="33"/>
      <c r="C9" s="34"/>
      <c r="D9" s="34"/>
      <c r="E9" s="35"/>
      <c r="F9" s="92">
        <v>102.9</v>
      </c>
      <c r="H9" s="4"/>
      <c r="I9" s="4" t="s">
        <v>33</v>
      </c>
    </row>
    <row r="10" spans="1:10" x14ac:dyDescent="0.2">
      <c r="A10" s="84">
        <v>2207</v>
      </c>
      <c r="B10" s="33"/>
      <c r="C10" s="34"/>
      <c r="D10" s="34"/>
      <c r="E10" s="35"/>
      <c r="F10" s="92">
        <v>70.900000000000006</v>
      </c>
      <c r="H10" s="4"/>
      <c r="I10" s="4" t="s">
        <v>35</v>
      </c>
    </row>
    <row r="11" spans="1:10" x14ac:dyDescent="0.2">
      <c r="A11" s="84" t="s">
        <v>165</v>
      </c>
      <c r="B11" s="33"/>
      <c r="C11" s="34"/>
      <c r="D11" s="34"/>
      <c r="E11" s="35"/>
      <c r="F11" s="92">
        <v>78</v>
      </c>
      <c r="H11" s="4"/>
      <c r="I11" s="4" t="s">
        <v>32</v>
      </c>
    </row>
    <row r="12" spans="1:10" x14ac:dyDescent="0.2">
      <c r="A12" s="84">
        <v>2208</v>
      </c>
      <c r="B12" s="33"/>
      <c r="C12" s="34"/>
      <c r="D12" s="34"/>
      <c r="E12" s="35"/>
      <c r="F12" s="92">
        <v>71.900000000000006</v>
      </c>
      <c r="H12" s="4"/>
      <c r="I12" s="6" t="s">
        <v>36</v>
      </c>
    </row>
    <row r="13" spans="1:10" x14ac:dyDescent="0.2">
      <c r="A13" s="84" t="s">
        <v>166</v>
      </c>
      <c r="B13" s="33"/>
      <c r="C13" s="34"/>
      <c r="D13" s="34"/>
      <c r="E13" s="35"/>
      <c r="F13" s="92">
        <v>79.900000000000006</v>
      </c>
      <c r="H13" s="4"/>
      <c r="I13" s="6" t="s">
        <v>37</v>
      </c>
    </row>
    <row r="14" spans="1:10" x14ac:dyDescent="0.2">
      <c r="A14" s="84">
        <v>2212</v>
      </c>
      <c r="B14" s="33"/>
      <c r="C14" s="34"/>
      <c r="D14" s="34"/>
      <c r="E14" s="35"/>
      <c r="F14" s="92">
        <v>63.9</v>
      </c>
      <c r="H14" s="4"/>
      <c r="I14" s="6" t="s">
        <v>38</v>
      </c>
    </row>
    <row r="15" spans="1:10" x14ac:dyDescent="0.2">
      <c r="A15" s="84">
        <v>2213</v>
      </c>
      <c r="B15" s="33"/>
      <c r="C15" s="34"/>
      <c r="D15" s="34"/>
      <c r="E15" s="35"/>
      <c r="F15" s="92">
        <v>72.900000000000006</v>
      </c>
      <c r="H15" s="4"/>
      <c r="I15" s="4" t="s">
        <v>33</v>
      </c>
    </row>
    <row r="16" spans="1:10" x14ac:dyDescent="0.2">
      <c r="A16" s="84" t="s">
        <v>167</v>
      </c>
      <c r="B16" s="33"/>
      <c r="C16" s="34"/>
      <c r="D16" s="34"/>
      <c r="E16" s="35"/>
      <c r="F16" s="92">
        <v>80.900000000000006</v>
      </c>
      <c r="H16" s="4"/>
      <c r="I16" s="4" t="s">
        <v>32</v>
      </c>
    </row>
    <row r="17" spans="1:9" x14ac:dyDescent="0.2">
      <c r="A17" s="84">
        <v>2215</v>
      </c>
      <c r="B17" s="33"/>
      <c r="C17" s="34"/>
      <c r="D17" s="34"/>
      <c r="E17" s="35"/>
      <c r="F17" s="92">
        <v>85.9</v>
      </c>
      <c r="H17" s="4"/>
      <c r="I17" s="4" t="s">
        <v>39</v>
      </c>
    </row>
    <row r="18" spans="1:9" x14ac:dyDescent="0.2">
      <c r="A18" s="84" t="s">
        <v>168</v>
      </c>
      <c r="B18" s="33"/>
      <c r="C18" s="34"/>
      <c r="D18" s="34"/>
      <c r="E18" s="35"/>
      <c r="F18" s="92">
        <v>95.9</v>
      </c>
      <c r="H18" s="4"/>
      <c r="I18" s="4" t="s">
        <v>40</v>
      </c>
    </row>
    <row r="19" spans="1:9" x14ac:dyDescent="0.2">
      <c r="A19" s="84">
        <v>2216</v>
      </c>
      <c r="B19" s="33"/>
      <c r="C19" s="34"/>
      <c r="D19" s="34"/>
      <c r="E19" s="35"/>
      <c r="F19" s="92">
        <v>80.900000000000006</v>
      </c>
      <c r="H19" s="4"/>
      <c r="I19" s="6" t="s">
        <v>41</v>
      </c>
    </row>
    <row r="20" spans="1:9" x14ac:dyDescent="0.2">
      <c r="A20" s="84" t="s">
        <v>169</v>
      </c>
      <c r="B20" s="33"/>
      <c r="C20" s="34"/>
      <c r="D20" s="34"/>
      <c r="E20" s="35"/>
      <c r="F20" s="92">
        <v>87.9</v>
      </c>
      <c r="I20" s="4" t="s">
        <v>42</v>
      </c>
    </row>
    <row r="21" spans="1:9" x14ac:dyDescent="0.2">
      <c r="A21" s="84">
        <v>2217</v>
      </c>
      <c r="B21" s="33"/>
      <c r="C21" s="34"/>
      <c r="D21" s="34"/>
      <c r="E21" s="35"/>
      <c r="F21" s="92">
        <v>80.900000000000006</v>
      </c>
    </row>
    <row r="22" spans="1:9" x14ac:dyDescent="0.2">
      <c r="A22" s="84" t="s">
        <v>170</v>
      </c>
      <c r="B22" s="33"/>
      <c r="C22" s="34"/>
      <c r="D22" s="34"/>
      <c r="E22" s="35"/>
      <c r="F22" s="92">
        <v>87.9</v>
      </c>
    </row>
    <row r="23" spans="1:9" x14ac:dyDescent="0.2">
      <c r="A23" s="84">
        <v>2230</v>
      </c>
      <c r="B23" s="33"/>
      <c r="C23" s="34"/>
      <c r="D23" s="34"/>
      <c r="E23" s="35"/>
      <c r="F23" s="92">
        <v>93.9</v>
      </c>
    </row>
    <row r="24" spans="1:9" x14ac:dyDescent="0.2">
      <c r="A24" s="84" t="s">
        <v>171</v>
      </c>
      <c r="B24" s="33"/>
      <c r="C24" s="34"/>
      <c r="D24" s="34"/>
      <c r="E24" s="35"/>
      <c r="F24" s="92">
        <v>103.9</v>
      </c>
    </row>
    <row r="25" spans="1:9" x14ac:dyDescent="0.2">
      <c r="A25" s="84">
        <v>2232</v>
      </c>
      <c r="B25" s="33"/>
      <c r="C25" s="34"/>
      <c r="D25" s="34"/>
      <c r="E25" s="35"/>
      <c r="F25" s="92">
        <v>76.900000000000006</v>
      </c>
    </row>
    <row r="26" spans="1:9" x14ac:dyDescent="0.2">
      <c r="A26" s="84" t="s">
        <v>172</v>
      </c>
      <c r="B26" s="33"/>
      <c r="C26" s="34"/>
      <c r="D26" s="34"/>
      <c r="E26" s="35"/>
      <c r="F26" s="92">
        <v>84.9</v>
      </c>
    </row>
    <row r="27" spans="1:9" x14ac:dyDescent="0.2">
      <c r="A27" s="84">
        <v>2233</v>
      </c>
      <c r="B27" s="33"/>
      <c r="C27" s="34"/>
      <c r="D27" s="34"/>
      <c r="E27" s="35"/>
      <c r="F27" s="92">
        <v>84.9</v>
      </c>
    </row>
    <row r="28" spans="1:9" x14ac:dyDescent="0.2">
      <c r="A28" s="84" t="s">
        <v>173</v>
      </c>
      <c r="B28" s="33"/>
      <c r="C28" s="34"/>
      <c r="D28" s="34"/>
      <c r="E28" s="35"/>
      <c r="F28" s="92">
        <v>88.9</v>
      </c>
    </row>
    <row r="29" spans="1:9" x14ac:dyDescent="0.2">
      <c r="A29" s="84">
        <v>2234</v>
      </c>
      <c r="B29" s="33"/>
      <c r="C29" s="34"/>
      <c r="D29" s="34"/>
      <c r="E29" s="35"/>
      <c r="F29" s="92">
        <v>101.9</v>
      </c>
    </row>
    <row r="30" spans="1:9" x14ac:dyDescent="0.2">
      <c r="A30" s="84" t="s">
        <v>174</v>
      </c>
      <c r="B30" s="33"/>
      <c r="C30" s="34"/>
      <c r="D30" s="34"/>
      <c r="E30" s="35"/>
      <c r="F30" s="92">
        <v>106.9</v>
      </c>
    </row>
    <row r="31" spans="1:9" x14ac:dyDescent="0.2">
      <c r="A31" s="84">
        <v>2240</v>
      </c>
      <c r="B31" s="33"/>
      <c r="C31" s="34"/>
      <c r="D31" s="34"/>
      <c r="E31" s="35"/>
      <c r="F31" s="92">
        <v>93.9</v>
      </c>
    </row>
    <row r="32" spans="1:9" x14ac:dyDescent="0.2">
      <c r="A32" s="84" t="s">
        <v>175</v>
      </c>
      <c r="B32" s="33"/>
      <c r="C32" s="34"/>
      <c r="D32" s="34"/>
      <c r="E32" s="35"/>
      <c r="F32" s="92">
        <v>98</v>
      </c>
    </row>
    <row r="33" spans="1:6" x14ac:dyDescent="0.2">
      <c r="A33" s="84">
        <v>2244</v>
      </c>
      <c r="B33" s="33"/>
      <c r="C33" s="34"/>
      <c r="D33" s="34"/>
      <c r="E33" s="35"/>
      <c r="F33" s="92">
        <v>80.900000000000006</v>
      </c>
    </row>
    <row r="34" spans="1:6" x14ac:dyDescent="0.2">
      <c r="A34" s="84" t="s">
        <v>176</v>
      </c>
      <c r="B34" s="33"/>
      <c r="C34" s="34"/>
      <c r="D34" s="34"/>
      <c r="E34" s="35"/>
      <c r="F34" s="92">
        <v>87.9</v>
      </c>
    </row>
    <row r="35" spans="1:6" x14ac:dyDescent="0.2">
      <c r="A35" s="84">
        <v>2245</v>
      </c>
      <c r="B35" s="33"/>
      <c r="C35" s="34"/>
      <c r="D35" s="34"/>
      <c r="E35" s="35"/>
      <c r="F35" s="92">
        <v>84.9</v>
      </c>
    </row>
    <row r="36" spans="1:6" x14ac:dyDescent="0.2">
      <c r="A36" s="84" t="s">
        <v>177</v>
      </c>
      <c r="B36" s="33"/>
      <c r="C36" s="34"/>
      <c r="D36" s="34"/>
      <c r="E36" s="35"/>
      <c r="F36" s="92">
        <v>88.9</v>
      </c>
    </row>
    <row r="37" spans="1:6" x14ac:dyDescent="0.2">
      <c r="A37" s="84">
        <v>2246</v>
      </c>
      <c r="B37" s="33"/>
      <c r="C37" s="34"/>
      <c r="D37" s="34"/>
      <c r="E37" s="35"/>
      <c r="F37" s="92">
        <v>65.900000000000006</v>
      </c>
    </row>
    <row r="38" spans="1:6" x14ac:dyDescent="0.2">
      <c r="A38" s="84" t="s">
        <v>178</v>
      </c>
      <c r="B38" s="33" t="s">
        <v>151</v>
      </c>
      <c r="C38" s="34"/>
      <c r="D38" s="34"/>
      <c r="E38" s="35"/>
      <c r="F38" s="92">
        <v>72.900000000000006</v>
      </c>
    </row>
    <row r="39" spans="1:6" x14ac:dyDescent="0.2">
      <c r="A39" s="84">
        <v>2247</v>
      </c>
      <c r="B39" s="33"/>
      <c r="C39" s="34"/>
      <c r="D39" s="34"/>
      <c r="E39" s="35"/>
      <c r="F39" s="92">
        <v>48.9</v>
      </c>
    </row>
    <row r="40" spans="1:6" x14ac:dyDescent="0.2">
      <c r="A40" s="84">
        <v>22471</v>
      </c>
      <c r="B40" s="33"/>
      <c r="C40" s="34"/>
      <c r="D40" s="34"/>
      <c r="E40" s="35"/>
      <c r="F40" s="92">
        <v>56</v>
      </c>
    </row>
    <row r="41" spans="1:6" x14ac:dyDescent="0.2">
      <c r="A41" s="84">
        <v>2251</v>
      </c>
      <c r="B41" s="33"/>
      <c r="C41" s="34"/>
      <c r="D41" s="34"/>
      <c r="E41" s="35"/>
      <c r="F41" s="92">
        <v>40.9</v>
      </c>
    </row>
    <row r="42" spans="1:6" x14ac:dyDescent="0.2">
      <c r="A42" s="84">
        <v>22511</v>
      </c>
      <c r="B42" s="33"/>
      <c r="C42" s="34"/>
      <c r="D42" s="34"/>
      <c r="E42" s="35"/>
      <c r="F42" s="92">
        <v>43.9</v>
      </c>
    </row>
    <row r="43" spans="1:6" x14ac:dyDescent="0.2">
      <c r="A43" s="84">
        <v>2252</v>
      </c>
      <c r="B43" s="33"/>
      <c r="C43" s="34"/>
      <c r="D43" s="34"/>
      <c r="E43" s="35"/>
      <c r="F43" s="92">
        <v>40.9</v>
      </c>
    </row>
    <row r="44" spans="1:6" x14ac:dyDescent="0.2">
      <c r="A44" s="84">
        <v>22521</v>
      </c>
      <c r="B44" s="33"/>
      <c r="C44" s="34"/>
      <c r="D44" s="34"/>
      <c r="E44" s="35"/>
      <c r="F44" s="92">
        <v>46.9</v>
      </c>
    </row>
    <row r="45" spans="1:6" x14ac:dyDescent="0.2">
      <c r="A45" s="84">
        <v>2253</v>
      </c>
      <c r="B45" s="33"/>
      <c r="C45" s="34"/>
      <c r="D45" s="34"/>
      <c r="E45" s="35"/>
      <c r="F45" s="92">
        <v>60.9</v>
      </c>
    </row>
    <row r="46" spans="1:6" x14ac:dyDescent="0.2">
      <c r="A46" s="84">
        <v>22531</v>
      </c>
      <c r="B46" s="33"/>
      <c r="C46" s="34"/>
      <c r="D46" s="34"/>
      <c r="E46" s="35"/>
      <c r="F46" s="92">
        <v>70.900000000000006</v>
      </c>
    </row>
    <row r="47" spans="1:6" x14ac:dyDescent="0.2">
      <c r="A47" s="84">
        <v>2254</v>
      </c>
      <c r="B47" s="33"/>
      <c r="C47" s="34"/>
      <c r="D47" s="34"/>
      <c r="E47" s="35"/>
      <c r="F47" s="92">
        <v>60.9</v>
      </c>
    </row>
    <row r="48" spans="1:6" x14ac:dyDescent="0.2">
      <c r="A48" s="84" t="s">
        <v>179</v>
      </c>
      <c r="B48" s="33"/>
      <c r="C48" s="34"/>
      <c r="D48" s="34"/>
      <c r="E48" s="35"/>
      <c r="F48" s="92">
        <v>67</v>
      </c>
    </row>
    <row r="49" spans="1:6" x14ac:dyDescent="0.2">
      <c r="A49" s="84">
        <v>2256</v>
      </c>
      <c r="B49" s="33"/>
      <c r="C49" s="34"/>
      <c r="D49" s="34"/>
      <c r="E49" s="35"/>
      <c r="F49" s="92">
        <v>47.9</v>
      </c>
    </row>
    <row r="50" spans="1:6" x14ac:dyDescent="0.2">
      <c r="A50" s="84">
        <v>22561</v>
      </c>
      <c r="B50" s="33"/>
      <c r="C50" s="34"/>
      <c r="D50" s="34"/>
      <c r="E50" s="35"/>
      <c r="F50" s="92">
        <v>57.9</v>
      </c>
    </row>
    <row r="51" spans="1:6" x14ac:dyDescent="0.2">
      <c r="A51" s="84">
        <v>2257</v>
      </c>
      <c r="B51" s="33" t="s">
        <v>151</v>
      </c>
      <c r="C51" s="34"/>
      <c r="D51" s="34"/>
      <c r="E51" s="35"/>
      <c r="F51" s="92">
        <v>43.9</v>
      </c>
    </row>
    <row r="52" spans="1:6" x14ac:dyDescent="0.2">
      <c r="A52" s="84">
        <v>22571</v>
      </c>
      <c r="B52" s="33" t="s">
        <v>151</v>
      </c>
      <c r="C52" s="34"/>
      <c r="D52" s="34"/>
      <c r="E52" s="35"/>
      <c r="F52" s="92">
        <v>48.9</v>
      </c>
    </row>
    <row r="53" spans="1:6" x14ac:dyDescent="0.2">
      <c r="A53" s="84">
        <v>2258</v>
      </c>
      <c r="B53" s="33" t="s">
        <v>151</v>
      </c>
      <c r="C53" s="34"/>
      <c r="D53" s="34"/>
      <c r="E53" s="35"/>
      <c r="F53" s="92">
        <v>43.9</v>
      </c>
    </row>
    <row r="54" spans="1:6" x14ac:dyDescent="0.2">
      <c r="A54" s="84">
        <v>22581</v>
      </c>
      <c r="B54" s="33"/>
      <c r="C54" s="34"/>
      <c r="D54" s="34"/>
      <c r="E54" s="35"/>
      <c r="F54" s="92">
        <v>51.9</v>
      </c>
    </row>
    <row r="55" spans="1:6" x14ac:dyDescent="0.2">
      <c r="A55" s="84">
        <v>2260</v>
      </c>
      <c r="B55" s="33"/>
      <c r="C55" s="34"/>
      <c r="D55" s="34"/>
      <c r="E55" s="35"/>
      <c r="F55" s="92">
        <v>48.9</v>
      </c>
    </row>
    <row r="56" spans="1:6" x14ac:dyDescent="0.2">
      <c r="A56" s="84">
        <v>22601</v>
      </c>
      <c r="B56" s="33"/>
      <c r="C56" s="34"/>
      <c r="D56" s="34"/>
      <c r="E56" s="35"/>
      <c r="F56" s="92">
        <v>60.9</v>
      </c>
    </row>
    <row r="57" spans="1:6" x14ac:dyDescent="0.2">
      <c r="A57" s="84">
        <v>2265</v>
      </c>
      <c r="B57" s="33"/>
      <c r="C57" s="34"/>
      <c r="D57" s="34"/>
      <c r="E57" s="35"/>
      <c r="F57" s="92">
        <v>91.9</v>
      </c>
    </row>
    <row r="58" spans="1:6" x14ac:dyDescent="0.2">
      <c r="A58" s="84" t="s">
        <v>180</v>
      </c>
      <c r="B58" s="33"/>
      <c r="C58" s="34"/>
      <c r="D58" s="34"/>
      <c r="E58" s="35"/>
      <c r="F58" s="92">
        <v>95.9</v>
      </c>
    </row>
    <row r="59" spans="1:6" x14ac:dyDescent="0.2">
      <c r="A59" s="84">
        <v>2267</v>
      </c>
      <c r="B59" s="33"/>
      <c r="C59" s="34"/>
      <c r="D59" s="34"/>
      <c r="E59" s="35"/>
      <c r="F59" s="92">
        <v>60.9</v>
      </c>
    </row>
    <row r="60" spans="1:6" x14ac:dyDescent="0.2">
      <c r="A60" s="84" t="s">
        <v>181</v>
      </c>
      <c r="B60" s="33"/>
      <c r="C60" s="34"/>
      <c r="D60" s="34"/>
      <c r="E60" s="35"/>
      <c r="F60" s="92">
        <v>63.9</v>
      </c>
    </row>
    <row r="61" spans="1:6" x14ac:dyDescent="0.2">
      <c r="A61" s="84">
        <v>2270</v>
      </c>
      <c r="B61" s="33"/>
      <c r="C61" s="34"/>
      <c r="D61" s="34"/>
      <c r="E61" s="35"/>
      <c r="F61" s="92">
        <v>60.9</v>
      </c>
    </row>
    <row r="62" spans="1:6" x14ac:dyDescent="0.2">
      <c r="A62" s="84" t="s">
        <v>182</v>
      </c>
      <c r="B62" s="33"/>
      <c r="C62" s="34"/>
      <c r="D62" s="34"/>
      <c r="E62" s="35"/>
      <c r="F62" s="92">
        <v>64.900000000000006</v>
      </c>
    </row>
    <row r="63" spans="1:6" x14ac:dyDescent="0.2">
      <c r="A63" s="84">
        <v>2271</v>
      </c>
      <c r="B63" s="33"/>
      <c r="C63" s="34"/>
      <c r="D63" s="34"/>
      <c r="E63" s="35"/>
      <c r="F63" s="92">
        <v>72.900000000000006</v>
      </c>
    </row>
    <row r="64" spans="1:6" x14ac:dyDescent="0.2">
      <c r="A64" s="84" t="s">
        <v>183</v>
      </c>
      <c r="B64" s="33"/>
      <c r="C64" s="34"/>
      <c r="D64" s="34"/>
      <c r="E64" s="35"/>
      <c r="F64" s="92">
        <v>80.900000000000006</v>
      </c>
    </row>
    <row r="65" spans="1:6" x14ac:dyDescent="0.2">
      <c r="A65" s="84">
        <v>2278</v>
      </c>
      <c r="B65" s="33"/>
      <c r="C65" s="34"/>
      <c r="D65" s="34"/>
      <c r="E65" s="35"/>
      <c r="F65" s="92">
        <v>80.900000000000006</v>
      </c>
    </row>
    <row r="66" spans="1:6" x14ac:dyDescent="0.2">
      <c r="A66" s="84" t="s">
        <v>184</v>
      </c>
      <c r="B66" s="33"/>
      <c r="C66" s="34"/>
      <c r="D66" s="34"/>
      <c r="E66" s="35"/>
      <c r="F66" s="92">
        <v>84.9</v>
      </c>
    </row>
    <row r="67" spans="1:6" x14ac:dyDescent="0.2">
      <c r="A67" s="84">
        <v>2279</v>
      </c>
      <c r="B67" s="33"/>
      <c r="C67" s="34"/>
      <c r="D67" s="34"/>
      <c r="E67" s="35"/>
      <c r="F67" s="92">
        <v>80.900000000000006</v>
      </c>
    </row>
    <row r="68" spans="1:6" x14ac:dyDescent="0.2">
      <c r="A68" s="84" t="s">
        <v>185</v>
      </c>
      <c r="B68" s="33"/>
      <c r="C68" s="34"/>
      <c r="D68" s="34"/>
      <c r="E68" s="35"/>
      <c r="F68" s="92">
        <v>87.9</v>
      </c>
    </row>
    <row r="69" spans="1:6" x14ac:dyDescent="0.2">
      <c r="A69" s="84">
        <v>2280</v>
      </c>
      <c r="B69" s="33"/>
      <c r="C69" s="34"/>
      <c r="D69" s="34"/>
      <c r="E69" s="35"/>
      <c r="F69" s="92">
        <v>96.9</v>
      </c>
    </row>
    <row r="70" spans="1:6" x14ac:dyDescent="0.2">
      <c r="A70" s="84" t="s">
        <v>186</v>
      </c>
      <c r="B70" s="33"/>
      <c r="C70" s="34"/>
      <c r="D70" s="34"/>
      <c r="E70" s="35"/>
      <c r="F70" s="92">
        <v>103.9</v>
      </c>
    </row>
    <row r="71" spans="1:6" x14ac:dyDescent="0.2">
      <c r="A71" s="84">
        <v>2281</v>
      </c>
      <c r="B71" s="33"/>
      <c r="C71" s="34"/>
      <c r="D71" s="34"/>
      <c r="E71" s="35"/>
      <c r="F71" s="92">
        <v>96.9</v>
      </c>
    </row>
    <row r="72" spans="1:6" x14ac:dyDescent="0.2">
      <c r="A72" s="84" t="s">
        <v>187</v>
      </c>
      <c r="B72" s="33"/>
      <c r="C72" s="34"/>
      <c r="D72" s="34"/>
      <c r="E72" s="35"/>
      <c r="F72" s="92">
        <v>104.9</v>
      </c>
    </row>
    <row r="73" spans="1:6" x14ac:dyDescent="0.2">
      <c r="A73" s="84">
        <v>2282</v>
      </c>
      <c r="B73" s="33"/>
      <c r="C73" s="34"/>
      <c r="D73" s="34"/>
      <c r="E73" s="35"/>
      <c r="F73" s="92">
        <v>68.900000000000006</v>
      </c>
    </row>
    <row r="74" spans="1:6" x14ac:dyDescent="0.2">
      <c r="A74" s="84">
        <v>22821</v>
      </c>
      <c r="B74" s="33"/>
      <c r="C74" s="34"/>
      <c r="D74" s="34"/>
      <c r="E74" s="35"/>
      <c r="F74" s="92">
        <v>84.9</v>
      </c>
    </row>
    <row r="75" spans="1:6" x14ac:dyDescent="0.2">
      <c r="A75" s="84">
        <v>2283</v>
      </c>
      <c r="B75" s="33"/>
      <c r="C75" s="34"/>
      <c r="D75" s="34"/>
      <c r="E75" s="35"/>
      <c r="F75" s="92">
        <v>68.900000000000006</v>
      </c>
    </row>
    <row r="76" spans="1:6" x14ac:dyDescent="0.2">
      <c r="A76" s="84">
        <v>22831</v>
      </c>
      <c r="B76" s="33"/>
      <c r="C76" s="34"/>
      <c r="D76" s="34"/>
      <c r="E76" s="35"/>
      <c r="F76" s="92">
        <v>84.9</v>
      </c>
    </row>
    <row r="77" spans="1:6" x14ac:dyDescent="0.2">
      <c r="A77" s="84">
        <v>2284</v>
      </c>
      <c r="B77" s="33"/>
      <c r="C77" s="34"/>
      <c r="D77" s="34"/>
      <c r="E77" s="35"/>
      <c r="F77" s="92">
        <v>140.9</v>
      </c>
    </row>
    <row r="78" spans="1:6" x14ac:dyDescent="0.2">
      <c r="A78" s="84" t="s">
        <v>188</v>
      </c>
      <c r="B78" s="33"/>
      <c r="C78" s="34"/>
      <c r="D78" s="34"/>
      <c r="E78" s="35"/>
      <c r="F78" s="92">
        <v>148.9</v>
      </c>
    </row>
    <row r="79" spans="1:6" x14ac:dyDescent="0.2">
      <c r="A79" s="84">
        <v>2285</v>
      </c>
      <c r="B79" s="33"/>
      <c r="C79" s="34"/>
      <c r="D79" s="34"/>
      <c r="E79" s="35"/>
      <c r="F79" s="92">
        <v>117.9</v>
      </c>
    </row>
    <row r="80" spans="1:6" x14ac:dyDescent="0.2">
      <c r="A80" s="84" t="s">
        <v>189</v>
      </c>
      <c r="B80" s="33"/>
      <c r="C80" s="34"/>
      <c r="D80" s="34"/>
      <c r="E80" s="35"/>
      <c r="F80" s="92">
        <v>124.9</v>
      </c>
    </row>
    <row r="81" spans="1:6" x14ac:dyDescent="0.2">
      <c r="A81" s="84">
        <v>2286</v>
      </c>
      <c r="B81" s="33"/>
      <c r="C81" s="34"/>
      <c r="D81" s="34"/>
      <c r="E81" s="35"/>
      <c r="F81" s="92">
        <v>65.900000000000006</v>
      </c>
    </row>
    <row r="82" spans="1:6" x14ac:dyDescent="0.2">
      <c r="A82" s="84" t="s">
        <v>190</v>
      </c>
      <c r="B82" s="33"/>
      <c r="C82" s="34"/>
      <c r="D82" s="34"/>
      <c r="E82" s="35"/>
      <c r="F82" s="92">
        <v>72.900000000000006</v>
      </c>
    </row>
    <row r="83" spans="1:6" x14ac:dyDescent="0.2">
      <c r="A83" s="84">
        <v>2287</v>
      </c>
      <c r="B83" s="33"/>
      <c r="C83" s="34"/>
      <c r="D83" s="34"/>
      <c r="E83" s="35"/>
      <c r="F83" s="92">
        <v>36.9</v>
      </c>
    </row>
    <row r="84" spans="1:6" x14ac:dyDescent="0.2">
      <c r="A84" s="84" t="s">
        <v>191</v>
      </c>
      <c r="B84" s="33"/>
      <c r="C84" s="34"/>
      <c r="D84" s="34"/>
      <c r="E84" s="35"/>
      <c r="F84" s="92">
        <v>40.9</v>
      </c>
    </row>
    <row r="85" spans="1:6" x14ac:dyDescent="0.2">
      <c r="A85" s="84">
        <v>2288</v>
      </c>
      <c r="B85" s="33"/>
      <c r="C85" s="34"/>
      <c r="D85" s="34"/>
      <c r="E85" s="35"/>
      <c r="F85" s="92">
        <v>31.9</v>
      </c>
    </row>
    <row r="86" spans="1:6" x14ac:dyDescent="0.2">
      <c r="A86" s="84" t="s">
        <v>192</v>
      </c>
      <c r="B86" s="33"/>
      <c r="C86" s="34"/>
      <c r="D86" s="34"/>
      <c r="E86" s="35"/>
      <c r="F86" s="92">
        <v>35.9</v>
      </c>
    </row>
    <row r="87" spans="1:6" x14ac:dyDescent="0.2">
      <c r="A87" s="84">
        <v>2289</v>
      </c>
      <c r="B87" s="33"/>
      <c r="C87" s="34"/>
      <c r="D87" s="34"/>
      <c r="E87" s="35"/>
      <c r="F87" s="92">
        <v>93.9</v>
      </c>
    </row>
    <row r="88" spans="1:6" x14ac:dyDescent="0.2">
      <c r="A88" s="84" t="s">
        <v>193</v>
      </c>
      <c r="B88" s="33"/>
      <c r="C88" s="34"/>
      <c r="D88" s="34"/>
      <c r="E88" s="35"/>
      <c r="F88" s="92">
        <v>103.9</v>
      </c>
    </row>
    <row r="89" spans="1:6" x14ac:dyDescent="0.2">
      <c r="A89" s="84">
        <v>2290</v>
      </c>
      <c r="B89" s="33"/>
      <c r="C89" s="34"/>
      <c r="D89" s="34"/>
      <c r="E89" s="35"/>
      <c r="F89" s="92">
        <v>84.9</v>
      </c>
    </row>
    <row r="90" spans="1:6" x14ac:dyDescent="0.2">
      <c r="A90" s="84" t="s">
        <v>194</v>
      </c>
      <c r="B90" s="33"/>
      <c r="C90" s="34"/>
      <c r="D90" s="34"/>
      <c r="E90" s="35"/>
      <c r="F90" s="92">
        <v>89</v>
      </c>
    </row>
    <row r="91" spans="1:6" x14ac:dyDescent="0.2">
      <c r="A91" s="84">
        <v>2291</v>
      </c>
      <c r="B91" s="33"/>
      <c r="C91" s="34"/>
      <c r="D91" s="34"/>
      <c r="E91" s="35"/>
      <c r="F91" s="92">
        <v>108.9</v>
      </c>
    </row>
    <row r="92" spans="1:6" x14ac:dyDescent="0.2">
      <c r="A92" s="84" t="s">
        <v>195</v>
      </c>
      <c r="B92" s="33"/>
      <c r="C92" s="34"/>
      <c r="D92" s="34"/>
      <c r="E92" s="35"/>
      <c r="F92" s="92">
        <v>115.9</v>
      </c>
    </row>
    <row r="93" spans="1:6" x14ac:dyDescent="0.2">
      <c r="A93" s="84">
        <v>2292</v>
      </c>
      <c r="B93" s="33"/>
      <c r="C93" s="34"/>
      <c r="D93" s="34"/>
      <c r="E93" s="35"/>
      <c r="F93" s="92">
        <v>24.9</v>
      </c>
    </row>
    <row r="94" spans="1:6" x14ac:dyDescent="0.2">
      <c r="A94" s="84" t="s">
        <v>196</v>
      </c>
      <c r="B94" s="33"/>
      <c r="C94" s="34"/>
      <c r="D94" s="34"/>
      <c r="E94" s="35"/>
      <c r="F94" s="92">
        <v>26.9</v>
      </c>
    </row>
    <row r="95" spans="1:6" x14ac:dyDescent="0.2">
      <c r="A95" s="84">
        <v>2293</v>
      </c>
      <c r="B95" s="33"/>
      <c r="C95" s="34"/>
      <c r="D95" s="34"/>
      <c r="E95" s="35"/>
      <c r="F95" s="92">
        <v>151.9</v>
      </c>
    </row>
    <row r="96" spans="1:6" x14ac:dyDescent="0.2">
      <c r="A96" s="84">
        <v>2294</v>
      </c>
      <c r="B96" s="33"/>
      <c r="C96" s="34"/>
      <c r="D96" s="34"/>
      <c r="E96" s="35"/>
      <c r="F96" s="92">
        <v>80.900000000000006</v>
      </c>
    </row>
    <row r="97" spans="1:6" x14ac:dyDescent="0.2">
      <c r="A97" s="84" t="s">
        <v>197</v>
      </c>
      <c r="B97" s="33"/>
      <c r="C97" s="34"/>
      <c r="D97" s="34"/>
      <c r="E97" s="35"/>
      <c r="F97" s="92">
        <v>87.9</v>
      </c>
    </row>
    <row r="98" spans="1:6" x14ac:dyDescent="0.2">
      <c r="A98" s="84">
        <v>2295</v>
      </c>
      <c r="B98" s="33"/>
      <c r="C98" s="34"/>
      <c r="D98" s="34"/>
      <c r="E98" s="35"/>
      <c r="F98" s="92">
        <v>84.9</v>
      </c>
    </row>
    <row r="99" spans="1:6" x14ac:dyDescent="0.2">
      <c r="A99" s="84" t="s">
        <v>198</v>
      </c>
      <c r="B99" s="33"/>
      <c r="C99" s="34"/>
      <c r="D99" s="34"/>
      <c r="E99" s="35"/>
      <c r="F99" s="92">
        <v>93.9</v>
      </c>
    </row>
    <row r="100" spans="1:6" x14ac:dyDescent="0.2">
      <c r="A100" s="84">
        <v>2296</v>
      </c>
      <c r="B100" s="33"/>
      <c r="C100" s="34"/>
      <c r="D100" s="34"/>
      <c r="E100" s="35"/>
      <c r="F100" s="92">
        <v>70.900000000000006</v>
      </c>
    </row>
    <row r="101" spans="1:6" x14ac:dyDescent="0.2">
      <c r="A101" s="84" t="s">
        <v>199</v>
      </c>
      <c r="B101" s="33"/>
      <c r="C101" s="34"/>
      <c r="D101" s="34"/>
      <c r="E101" s="35"/>
      <c r="F101" s="92">
        <v>76.900000000000006</v>
      </c>
    </row>
    <row r="102" spans="1:6" x14ac:dyDescent="0.2">
      <c r="A102" s="84">
        <v>22102</v>
      </c>
      <c r="B102" s="33"/>
      <c r="C102" s="34"/>
      <c r="D102" s="34"/>
      <c r="E102" s="35"/>
      <c r="F102" s="92">
        <v>44.9</v>
      </c>
    </row>
    <row r="103" spans="1:6" x14ac:dyDescent="0.2">
      <c r="A103" s="84" t="s">
        <v>200</v>
      </c>
      <c r="B103" s="33"/>
      <c r="C103" s="34"/>
      <c r="D103" s="34"/>
      <c r="E103" s="35"/>
      <c r="F103" s="92">
        <v>47.9</v>
      </c>
    </row>
    <row r="104" spans="1:6" x14ac:dyDescent="0.2">
      <c r="A104" s="84">
        <v>22103</v>
      </c>
      <c r="B104" s="33"/>
      <c r="C104" s="34"/>
      <c r="D104" s="34"/>
      <c r="E104" s="35"/>
      <c r="F104" s="92">
        <v>79.900000000000006</v>
      </c>
    </row>
    <row r="105" spans="1:6" x14ac:dyDescent="0.2">
      <c r="A105" s="84" t="s">
        <v>201</v>
      </c>
      <c r="B105" s="33"/>
      <c r="C105" s="34"/>
      <c r="D105" s="34"/>
      <c r="E105" s="35"/>
      <c r="F105" s="92">
        <v>83.9</v>
      </c>
    </row>
    <row r="106" spans="1:6" x14ac:dyDescent="0.2">
      <c r="A106" s="84">
        <v>22105</v>
      </c>
      <c r="B106" s="33"/>
      <c r="C106" s="34"/>
      <c r="D106" s="34"/>
      <c r="E106" s="35"/>
      <c r="F106" s="92">
        <v>72.900000000000006</v>
      </c>
    </row>
    <row r="107" spans="1:6" x14ac:dyDescent="0.2">
      <c r="A107" s="84" t="s">
        <v>202</v>
      </c>
      <c r="B107" s="33"/>
      <c r="C107" s="34"/>
      <c r="D107" s="34"/>
      <c r="E107" s="35"/>
      <c r="F107" s="92">
        <v>76.900000000000006</v>
      </c>
    </row>
    <row r="108" spans="1:6" x14ac:dyDescent="0.2">
      <c r="A108" s="84">
        <v>22106</v>
      </c>
      <c r="B108" s="33"/>
      <c r="C108" s="34"/>
      <c r="D108" s="34"/>
      <c r="E108" s="35"/>
      <c r="F108" s="92">
        <v>72.900000000000006</v>
      </c>
    </row>
    <row r="109" spans="1:6" x14ac:dyDescent="0.2">
      <c r="A109" s="84" t="s">
        <v>203</v>
      </c>
      <c r="B109" s="33"/>
      <c r="C109" s="34"/>
      <c r="D109" s="34"/>
      <c r="E109" s="35"/>
      <c r="F109" s="92">
        <v>80.900000000000006</v>
      </c>
    </row>
    <row r="110" spans="1:6" x14ac:dyDescent="0.2">
      <c r="A110" s="84">
        <v>22107</v>
      </c>
      <c r="B110" s="33"/>
      <c r="C110" s="34"/>
      <c r="D110" s="34"/>
      <c r="E110" s="35"/>
      <c r="F110" s="92">
        <v>72.900000000000006</v>
      </c>
    </row>
    <row r="111" spans="1:6" x14ac:dyDescent="0.2">
      <c r="A111" s="84" t="s">
        <v>204</v>
      </c>
      <c r="B111" s="33"/>
      <c r="C111" s="34"/>
      <c r="D111" s="34"/>
      <c r="E111" s="35"/>
      <c r="F111" s="92">
        <v>76.900000000000006</v>
      </c>
    </row>
    <row r="112" spans="1:6" x14ac:dyDescent="0.2">
      <c r="A112" s="84">
        <v>22108</v>
      </c>
      <c r="B112" s="33"/>
      <c r="C112" s="34"/>
      <c r="D112" s="34"/>
      <c r="E112" s="35"/>
      <c r="F112" s="92">
        <v>60.9</v>
      </c>
    </row>
    <row r="113" spans="1:6" x14ac:dyDescent="0.2">
      <c r="A113" s="84" t="s">
        <v>205</v>
      </c>
      <c r="B113" s="33" t="s">
        <v>151</v>
      </c>
      <c r="C113" s="34"/>
      <c r="D113" s="34"/>
      <c r="E113" s="35"/>
      <c r="F113" s="92">
        <v>63.9</v>
      </c>
    </row>
    <row r="114" spans="1:6" x14ac:dyDescent="0.2">
      <c r="A114" s="84">
        <v>22111</v>
      </c>
      <c r="B114" s="33"/>
      <c r="C114" s="34"/>
      <c r="D114" s="34"/>
      <c r="E114" s="35"/>
      <c r="F114" s="92">
        <v>43.9</v>
      </c>
    </row>
    <row r="115" spans="1:6" x14ac:dyDescent="0.2">
      <c r="A115" s="84">
        <v>221111</v>
      </c>
      <c r="B115" s="33"/>
      <c r="C115" s="34"/>
      <c r="D115" s="34"/>
      <c r="E115" s="35"/>
      <c r="F115" s="92">
        <v>51.9</v>
      </c>
    </row>
    <row r="116" spans="1:6" x14ac:dyDescent="0.2">
      <c r="A116" s="84">
        <v>22112</v>
      </c>
      <c r="B116" s="33"/>
      <c r="C116" s="34"/>
      <c r="D116" s="34"/>
      <c r="E116" s="35"/>
      <c r="F116" s="92">
        <v>80.900000000000006</v>
      </c>
    </row>
    <row r="117" spans="1:6" x14ac:dyDescent="0.2">
      <c r="A117" s="84">
        <v>22113</v>
      </c>
      <c r="B117" s="33"/>
      <c r="C117" s="34"/>
      <c r="D117" s="34"/>
      <c r="E117" s="35"/>
      <c r="F117" s="92">
        <v>67</v>
      </c>
    </row>
    <row r="118" spans="1:6" x14ac:dyDescent="0.2">
      <c r="A118" s="84">
        <v>22114</v>
      </c>
      <c r="B118" s="33"/>
      <c r="C118" s="34"/>
      <c r="D118" s="34"/>
      <c r="E118" s="35"/>
      <c r="F118" s="92">
        <v>91.9</v>
      </c>
    </row>
    <row r="119" spans="1:6" x14ac:dyDescent="0.2">
      <c r="A119" s="84">
        <v>22115</v>
      </c>
      <c r="B119" s="33"/>
      <c r="C119" s="34"/>
      <c r="D119" s="34"/>
      <c r="E119" s="35"/>
      <c r="F119" s="92">
        <v>96.9</v>
      </c>
    </row>
    <row r="120" spans="1:6" x14ac:dyDescent="0.2">
      <c r="A120" s="84" t="s">
        <v>206</v>
      </c>
      <c r="B120" s="33"/>
      <c r="C120" s="34"/>
      <c r="D120" s="34"/>
      <c r="E120" s="35"/>
      <c r="F120" s="92">
        <v>106.9</v>
      </c>
    </row>
    <row r="121" spans="1:6" x14ac:dyDescent="0.2">
      <c r="A121" s="84">
        <v>22116</v>
      </c>
      <c r="B121" s="33"/>
      <c r="C121" s="34"/>
      <c r="D121" s="34"/>
      <c r="E121" s="35"/>
      <c r="F121" s="92">
        <v>70.900000000000006</v>
      </c>
    </row>
    <row r="122" spans="1:6" x14ac:dyDescent="0.2">
      <c r="A122" s="84" t="s">
        <v>207</v>
      </c>
      <c r="B122" s="33"/>
      <c r="C122" s="34"/>
      <c r="D122" s="34"/>
      <c r="E122" s="35"/>
      <c r="F122" s="92">
        <v>78</v>
      </c>
    </row>
    <row r="123" spans="1:6" x14ac:dyDescent="0.2">
      <c r="A123" s="84">
        <v>22119</v>
      </c>
      <c r="B123" s="33"/>
      <c r="C123" s="34"/>
      <c r="D123" s="34"/>
      <c r="E123" s="35"/>
      <c r="F123" s="92">
        <v>84.9</v>
      </c>
    </row>
    <row r="124" spans="1:6" x14ac:dyDescent="0.2">
      <c r="A124" s="84">
        <v>22120</v>
      </c>
      <c r="B124" s="33"/>
      <c r="C124" s="34"/>
      <c r="D124" s="34"/>
      <c r="E124" s="35"/>
      <c r="F124" s="92">
        <v>35.9</v>
      </c>
    </row>
    <row r="125" spans="1:6" x14ac:dyDescent="0.2">
      <c r="A125" s="84">
        <v>22121</v>
      </c>
      <c r="B125" s="33"/>
      <c r="C125" s="34"/>
      <c r="D125" s="34"/>
      <c r="E125" s="35"/>
      <c r="F125" s="92">
        <v>54.9</v>
      </c>
    </row>
    <row r="126" spans="1:6" x14ac:dyDescent="0.2">
      <c r="A126" s="84">
        <v>22122</v>
      </c>
      <c r="B126" s="33"/>
      <c r="C126" s="34"/>
      <c r="D126" s="34"/>
      <c r="E126" s="35"/>
      <c r="F126" s="92">
        <v>48.9</v>
      </c>
    </row>
    <row r="127" spans="1:6" x14ac:dyDescent="0.2">
      <c r="A127" s="84">
        <v>22123</v>
      </c>
      <c r="B127" s="33"/>
      <c r="C127" s="34"/>
      <c r="D127" s="34"/>
      <c r="E127" s="35"/>
      <c r="F127" s="92">
        <v>66.900000000000006</v>
      </c>
    </row>
    <row r="128" spans="1:6" x14ac:dyDescent="0.2">
      <c r="A128" s="84">
        <v>22124</v>
      </c>
      <c r="B128" s="33"/>
      <c r="C128" s="34"/>
      <c r="D128" s="34"/>
      <c r="E128" s="35"/>
      <c r="F128" s="92">
        <v>66.900000000000006</v>
      </c>
    </row>
    <row r="129" spans="1:6" x14ac:dyDescent="0.2">
      <c r="A129" s="84">
        <v>22125</v>
      </c>
      <c r="B129" s="33"/>
      <c r="C129" s="34"/>
      <c r="D129" s="34"/>
      <c r="E129" s="35"/>
      <c r="F129" s="92">
        <v>65.900000000000006</v>
      </c>
    </row>
    <row r="130" spans="1:6" x14ac:dyDescent="0.2">
      <c r="A130" s="84" t="s">
        <v>208</v>
      </c>
      <c r="B130" s="33"/>
      <c r="C130" s="34"/>
      <c r="D130" s="34"/>
      <c r="E130" s="35"/>
      <c r="F130" s="92">
        <v>72.900000000000006</v>
      </c>
    </row>
    <row r="131" spans="1:6" x14ac:dyDescent="0.2">
      <c r="A131" s="84">
        <v>22126</v>
      </c>
      <c r="B131" s="33"/>
      <c r="C131" s="34"/>
      <c r="D131" s="34"/>
      <c r="E131" s="35"/>
      <c r="F131" s="92">
        <v>71.900000000000006</v>
      </c>
    </row>
    <row r="132" spans="1:6" x14ac:dyDescent="0.2">
      <c r="A132" s="84">
        <v>22127</v>
      </c>
      <c r="B132" s="33"/>
      <c r="C132" s="34"/>
      <c r="D132" s="34"/>
      <c r="E132" s="35"/>
      <c r="F132" s="92">
        <v>71.900000000000006</v>
      </c>
    </row>
    <row r="133" spans="1:6" x14ac:dyDescent="0.2">
      <c r="A133" s="84">
        <v>22128</v>
      </c>
      <c r="B133" s="33"/>
      <c r="C133" s="34"/>
      <c r="D133" s="34"/>
      <c r="E133" s="35"/>
      <c r="F133" s="92">
        <v>67</v>
      </c>
    </row>
    <row r="134" spans="1:6" x14ac:dyDescent="0.2">
      <c r="A134" s="84">
        <v>22129</v>
      </c>
      <c r="B134" s="33"/>
      <c r="C134" s="34"/>
      <c r="D134" s="34"/>
      <c r="E134" s="35"/>
      <c r="F134" s="92">
        <v>67</v>
      </c>
    </row>
    <row r="135" spans="1:6" x14ac:dyDescent="0.2">
      <c r="A135" s="84" t="s">
        <v>209</v>
      </c>
      <c r="B135" s="33"/>
      <c r="C135" s="34"/>
      <c r="D135" s="34"/>
      <c r="E135" s="35"/>
      <c r="F135" s="92">
        <v>73.900000000000006</v>
      </c>
    </row>
    <row r="136" spans="1:6" x14ac:dyDescent="0.2">
      <c r="A136" s="84">
        <v>22130</v>
      </c>
      <c r="B136" s="33"/>
      <c r="C136" s="34"/>
      <c r="D136" s="34"/>
      <c r="E136" s="35"/>
      <c r="F136" s="92">
        <v>70.900000000000006</v>
      </c>
    </row>
    <row r="137" spans="1:6" x14ac:dyDescent="0.2">
      <c r="A137" s="84">
        <v>22133</v>
      </c>
      <c r="B137" s="33"/>
      <c r="C137" s="34"/>
      <c r="D137" s="34"/>
      <c r="E137" s="35"/>
      <c r="F137" s="92">
        <v>103.9</v>
      </c>
    </row>
    <row r="138" spans="1:6" x14ac:dyDescent="0.2">
      <c r="A138" s="84" t="s">
        <v>210</v>
      </c>
      <c r="B138" s="33"/>
      <c r="C138" s="34"/>
      <c r="D138" s="34"/>
      <c r="E138" s="35"/>
      <c r="F138" s="92">
        <v>113.9</v>
      </c>
    </row>
    <row r="139" spans="1:6" x14ac:dyDescent="0.2">
      <c r="A139" s="84">
        <v>22142</v>
      </c>
      <c r="B139" s="33"/>
      <c r="C139" s="34"/>
      <c r="D139" s="34"/>
      <c r="E139" s="35"/>
      <c r="F139" s="92">
        <v>48.9</v>
      </c>
    </row>
    <row r="140" spans="1:6" x14ac:dyDescent="0.2">
      <c r="A140" s="84">
        <v>22144</v>
      </c>
      <c r="B140" s="33"/>
      <c r="C140" s="34"/>
      <c r="D140" s="34"/>
      <c r="E140" s="35"/>
      <c r="F140" s="92">
        <v>72.900000000000006</v>
      </c>
    </row>
    <row r="141" spans="1:6" x14ac:dyDescent="0.2">
      <c r="A141" s="84">
        <v>22145</v>
      </c>
      <c r="B141" s="33"/>
      <c r="C141" s="34"/>
      <c r="D141" s="34"/>
      <c r="E141" s="35"/>
      <c r="F141" s="92">
        <v>83.9</v>
      </c>
    </row>
    <row r="142" spans="1:6" x14ac:dyDescent="0.2">
      <c r="A142" s="84">
        <v>22146</v>
      </c>
      <c r="B142" s="33"/>
      <c r="C142" s="34"/>
      <c r="D142" s="34"/>
      <c r="E142" s="35"/>
      <c r="F142" s="92">
        <v>108.9</v>
      </c>
    </row>
    <row r="143" spans="1:6" x14ac:dyDescent="0.2">
      <c r="A143" s="84">
        <v>22147</v>
      </c>
      <c r="B143" s="33"/>
      <c r="C143" s="34"/>
      <c r="D143" s="34"/>
      <c r="E143" s="35"/>
      <c r="F143" s="92">
        <v>84.9</v>
      </c>
    </row>
    <row r="144" spans="1:6" x14ac:dyDescent="0.2">
      <c r="A144" s="84" t="s">
        <v>211</v>
      </c>
      <c r="B144" s="33"/>
      <c r="C144" s="34"/>
      <c r="D144" s="34"/>
      <c r="E144" s="35"/>
      <c r="F144" s="92">
        <v>93.9</v>
      </c>
    </row>
    <row r="145" spans="1:6" x14ac:dyDescent="0.2">
      <c r="A145" s="84">
        <v>22148</v>
      </c>
      <c r="B145" s="33"/>
      <c r="C145" s="34"/>
      <c r="D145" s="34"/>
      <c r="E145" s="35"/>
      <c r="F145" s="92">
        <v>69.900000000000006</v>
      </c>
    </row>
    <row r="146" spans="1:6" x14ac:dyDescent="0.2">
      <c r="A146" s="84">
        <v>22149</v>
      </c>
      <c r="B146" s="33"/>
      <c r="C146" s="34"/>
      <c r="D146" s="34"/>
      <c r="E146" s="35"/>
      <c r="F146" s="92">
        <v>79.900000000000006</v>
      </c>
    </row>
    <row r="147" spans="1:6" x14ac:dyDescent="0.2">
      <c r="A147" s="84">
        <v>22150</v>
      </c>
      <c r="B147" s="33"/>
      <c r="C147" s="34"/>
      <c r="D147" s="34"/>
      <c r="E147" s="35"/>
      <c r="F147" s="92">
        <v>72.900000000000006</v>
      </c>
    </row>
    <row r="148" spans="1:6" x14ac:dyDescent="0.2">
      <c r="A148" s="84">
        <v>22151</v>
      </c>
      <c r="B148" s="33"/>
      <c r="C148" s="34"/>
      <c r="D148" s="34"/>
      <c r="E148" s="35"/>
      <c r="F148" s="92">
        <v>36.9</v>
      </c>
    </row>
    <row r="149" spans="1:6" x14ac:dyDescent="0.2">
      <c r="A149" s="84">
        <v>22152</v>
      </c>
      <c r="B149" s="33"/>
      <c r="C149" s="34"/>
      <c r="D149" s="34"/>
      <c r="E149" s="35"/>
      <c r="F149" s="92">
        <v>47.9</v>
      </c>
    </row>
    <row r="150" spans="1:6" x14ac:dyDescent="0.2">
      <c r="A150" s="84">
        <v>22153</v>
      </c>
      <c r="B150" s="33"/>
      <c r="C150" s="34"/>
      <c r="D150" s="34"/>
      <c r="E150" s="35"/>
      <c r="F150" s="92">
        <v>79.900000000000006</v>
      </c>
    </row>
    <row r="151" spans="1:6" x14ac:dyDescent="0.2">
      <c r="A151" s="84">
        <v>22154</v>
      </c>
      <c r="B151" s="33"/>
      <c r="C151" s="34"/>
      <c r="D151" s="34"/>
      <c r="E151" s="35"/>
      <c r="F151" s="92">
        <v>43.9</v>
      </c>
    </row>
    <row r="152" spans="1:6" x14ac:dyDescent="0.2">
      <c r="A152" s="84">
        <v>22155</v>
      </c>
      <c r="B152" s="33"/>
      <c r="C152" s="34"/>
      <c r="D152" s="34"/>
      <c r="E152" s="35"/>
      <c r="F152" s="92">
        <v>52.9</v>
      </c>
    </row>
    <row r="153" spans="1:6" x14ac:dyDescent="0.2">
      <c r="A153" s="84">
        <v>22156</v>
      </c>
      <c r="B153" s="33"/>
      <c r="C153" s="34"/>
      <c r="D153" s="34"/>
      <c r="E153" s="35"/>
      <c r="F153" s="92">
        <v>84.9</v>
      </c>
    </row>
    <row r="154" spans="1:6" x14ac:dyDescent="0.2">
      <c r="A154" s="84">
        <v>22157</v>
      </c>
      <c r="B154" s="33"/>
      <c r="C154" s="34"/>
      <c r="D154" s="34"/>
      <c r="E154" s="35"/>
      <c r="F154" s="92">
        <v>67</v>
      </c>
    </row>
    <row r="155" spans="1:6" x14ac:dyDescent="0.2">
      <c r="A155" s="84">
        <v>22158</v>
      </c>
      <c r="B155" s="33"/>
      <c r="C155" s="34"/>
      <c r="D155" s="34"/>
      <c r="E155" s="35"/>
      <c r="F155" s="92">
        <v>40.9</v>
      </c>
    </row>
    <row r="156" spans="1:6" x14ac:dyDescent="0.2">
      <c r="A156" s="84">
        <v>22159</v>
      </c>
      <c r="B156" s="33"/>
      <c r="C156" s="34"/>
      <c r="D156" s="34"/>
      <c r="E156" s="35"/>
      <c r="F156" s="92">
        <v>48.9</v>
      </c>
    </row>
    <row r="157" spans="1:6" x14ac:dyDescent="0.2">
      <c r="A157" s="84">
        <v>22160</v>
      </c>
      <c r="B157" s="33"/>
      <c r="C157" s="34"/>
      <c r="D157" s="34"/>
      <c r="E157" s="35"/>
      <c r="F157" s="92">
        <v>120.9</v>
      </c>
    </row>
    <row r="158" spans="1:6" x14ac:dyDescent="0.2">
      <c r="A158" s="84">
        <v>22161</v>
      </c>
      <c r="B158" s="33"/>
      <c r="C158" s="34"/>
      <c r="D158" s="34"/>
      <c r="E158" s="35"/>
      <c r="F158" s="92">
        <v>101.9</v>
      </c>
    </row>
    <row r="159" spans="1:6" x14ac:dyDescent="0.2">
      <c r="A159" s="84">
        <v>22162</v>
      </c>
      <c r="B159" s="33"/>
      <c r="C159" s="34"/>
      <c r="D159" s="34"/>
      <c r="E159" s="35"/>
      <c r="F159" s="92">
        <v>79.900000000000006</v>
      </c>
    </row>
    <row r="160" spans="1:6" x14ac:dyDescent="0.2">
      <c r="A160" s="84">
        <v>22163</v>
      </c>
      <c r="B160" s="33"/>
      <c r="C160" s="34"/>
      <c r="D160" s="34"/>
      <c r="E160" s="35"/>
      <c r="F160" s="92">
        <v>101.9</v>
      </c>
    </row>
    <row r="161" spans="1:6" x14ac:dyDescent="0.2">
      <c r="A161" s="84">
        <v>22164</v>
      </c>
      <c r="B161" s="33"/>
      <c r="C161" s="34"/>
      <c r="D161" s="34"/>
      <c r="E161" s="35"/>
      <c r="F161" s="92">
        <v>96.9</v>
      </c>
    </row>
    <row r="162" spans="1:6" x14ac:dyDescent="0.2">
      <c r="A162" s="84">
        <v>22165</v>
      </c>
      <c r="B162" s="33"/>
      <c r="C162" s="34"/>
      <c r="D162" s="34"/>
      <c r="E162" s="35"/>
      <c r="F162" s="92">
        <v>108.9</v>
      </c>
    </row>
    <row r="163" spans="1:6" x14ac:dyDescent="0.2">
      <c r="A163" s="84">
        <v>22166</v>
      </c>
      <c r="B163" s="33"/>
      <c r="C163" s="34"/>
      <c r="D163" s="34"/>
      <c r="E163" s="35"/>
      <c r="F163" s="92">
        <v>57.9</v>
      </c>
    </row>
    <row r="164" spans="1:6" x14ac:dyDescent="0.2">
      <c r="A164" s="84">
        <v>22167</v>
      </c>
      <c r="B164" s="33"/>
      <c r="C164" s="34"/>
      <c r="D164" s="34"/>
      <c r="E164" s="35"/>
      <c r="F164" s="92">
        <v>48.9</v>
      </c>
    </row>
    <row r="165" spans="1:6" x14ac:dyDescent="0.2">
      <c r="A165" s="84">
        <v>22168</v>
      </c>
      <c r="B165" s="33"/>
      <c r="C165" s="34"/>
      <c r="D165" s="34"/>
      <c r="E165" s="35"/>
      <c r="F165" s="92">
        <v>59.9</v>
      </c>
    </row>
    <row r="166" spans="1:6" x14ac:dyDescent="0.2">
      <c r="A166" s="84">
        <v>22169</v>
      </c>
      <c r="B166" s="33"/>
      <c r="C166" s="34"/>
      <c r="D166" s="34"/>
      <c r="E166" s="35"/>
      <c r="F166" s="92">
        <v>48.9</v>
      </c>
    </row>
    <row r="167" spans="1:6" x14ac:dyDescent="0.2">
      <c r="A167" s="84">
        <v>22170</v>
      </c>
      <c r="B167" s="33"/>
      <c r="C167" s="34"/>
      <c r="D167" s="34"/>
      <c r="E167" s="35"/>
      <c r="F167" s="92">
        <v>108.9</v>
      </c>
    </row>
    <row r="168" spans="1:6" x14ac:dyDescent="0.2">
      <c r="A168" s="84" t="s">
        <v>212</v>
      </c>
      <c r="B168" s="33"/>
      <c r="C168" s="34"/>
      <c r="D168" s="34"/>
      <c r="E168" s="35"/>
      <c r="F168" s="92">
        <v>114.9</v>
      </c>
    </row>
    <row r="169" spans="1:6" x14ac:dyDescent="0.2">
      <c r="A169" s="84">
        <v>22171</v>
      </c>
      <c r="B169" s="33"/>
      <c r="C169" s="34"/>
      <c r="D169" s="34"/>
      <c r="E169" s="35"/>
      <c r="F169" s="92">
        <v>60.9</v>
      </c>
    </row>
    <row r="170" spans="1:6" x14ac:dyDescent="0.2">
      <c r="A170" s="84" t="s">
        <v>213</v>
      </c>
      <c r="B170" s="33"/>
      <c r="C170" s="34"/>
      <c r="D170" s="34"/>
      <c r="E170" s="35"/>
      <c r="F170" s="92">
        <v>66</v>
      </c>
    </row>
    <row r="171" spans="1:6" x14ac:dyDescent="0.2">
      <c r="A171" s="84">
        <v>22172</v>
      </c>
      <c r="B171" s="33"/>
      <c r="C171" s="34"/>
      <c r="D171" s="34"/>
      <c r="E171" s="35"/>
      <c r="F171" s="92">
        <v>67</v>
      </c>
    </row>
    <row r="172" spans="1:6" x14ac:dyDescent="0.2">
      <c r="A172" s="84" t="s">
        <v>214</v>
      </c>
      <c r="B172" s="33"/>
      <c r="C172" s="34"/>
      <c r="D172" s="34"/>
      <c r="E172" s="35"/>
      <c r="F172" s="92">
        <v>70.900000000000006</v>
      </c>
    </row>
    <row r="173" spans="1:6" x14ac:dyDescent="0.2">
      <c r="A173" s="84">
        <v>22173</v>
      </c>
      <c r="B173" s="33"/>
      <c r="C173" s="34"/>
      <c r="D173" s="34"/>
      <c r="E173" s="35"/>
      <c r="F173" s="92">
        <v>75.900000000000006</v>
      </c>
    </row>
    <row r="174" spans="1:6" x14ac:dyDescent="0.2">
      <c r="A174" s="84" t="s">
        <v>215</v>
      </c>
      <c r="B174" s="33"/>
      <c r="C174" s="34"/>
      <c r="D174" s="34"/>
      <c r="E174" s="35"/>
      <c r="F174" s="92">
        <v>83.9</v>
      </c>
    </row>
    <row r="175" spans="1:6" x14ac:dyDescent="0.2">
      <c r="A175" s="84">
        <v>22174</v>
      </c>
      <c r="B175" s="33"/>
      <c r="C175" s="34"/>
      <c r="D175" s="34"/>
      <c r="E175" s="35"/>
      <c r="F175" s="92">
        <v>80.900000000000006</v>
      </c>
    </row>
    <row r="176" spans="1:6" x14ac:dyDescent="0.2">
      <c r="A176" s="84">
        <v>22175</v>
      </c>
      <c r="B176" s="33"/>
      <c r="C176" s="34"/>
      <c r="D176" s="34"/>
      <c r="E176" s="35"/>
      <c r="F176" s="92">
        <v>80.900000000000006</v>
      </c>
    </row>
    <row r="177" spans="1:6" x14ac:dyDescent="0.2">
      <c r="A177" s="84">
        <v>22176</v>
      </c>
      <c r="B177" s="33"/>
      <c r="C177" s="34"/>
      <c r="D177" s="34"/>
      <c r="E177" s="35"/>
      <c r="F177" s="92">
        <v>72.900000000000006</v>
      </c>
    </row>
    <row r="178" spans="1:6" x14ac:dyDescent="0.2">
      <c r="A178" s="84">
        <v>22177</v>
      </c>
      <c r="B178" s="33"/>
      <c r="C178" s="34"/>
      <c r="D178" s="34"/>
      <c r="E178" s="35"/>
      <c r="F178" s="92">
        <v>43.9</v>
      </c>
    </row>
    <row r="179" spans="1:6" x14ac:dyDescent="0.2">
      <c r="A179" s="84">
        <v>22178</v>
      </c>
      <c r="B179" s="33"/>
      <c r="C179" s="34"/>
      <c r="D179" s="34"/>
      <c r="E179" s="35"/>
      <c r="F179" s="92">
        <v>55.9</v>
      </c>
    </row>
    <row r="180" spans="1:6" x14ac:dyDescent="0.2">
      <c r="A180" s="84">
        <v>22179</v>
      </c>
      <c r="B180" s="33"/>
      <c r="C180" s="34"/>
      <c r="D180" s="34"/>
      <c r="E180" s="35"/>
      <c r="F180" s="92">
        <v>36.9</v>
      </c>
    </row>
    <row r="181" spans="1:6" x14ac:dyDescent="0.2">
      <c r="A181" s="84">
        <v>22180</v>
      </c>
      <c r="B181" s="33"/>
      <c r="C181" s="34"/>
      <c r="D181" s="34"/>
      <c r="E181" s="35"/>
      <c r="F181" s="92">
        <v>72.900000000000006</v>
      </c>
    </row>
    <row r="182" spans="1:6" x14ac:dyDescent="0.2">
      <c r="A182" s="84">
        <v>22181</v>
      </c>
      <c r="B182" s="33"/>
      <c r="C182" s="34"/>
      <c r="D182" s="34"/>
      <c r="E182" s="35"/>
      <c r="F182" s="92">
        <v>48.9</v>
      </c>
    </row>
    <row r="183" spans="1:6" x14ac:dyDescent="0.2">
      <c r="A183" s="84">
        <v>22182</v>
      </c>
      <c r="B183" s="33"/>
      <c r="C183" s="34"/>
      <c r="D183" s="34"/>
      <c r="E183" s="35"/>
      <c r="F183" s="92">
        <v>67</v>
      </c>
    </row>
    <row r="184" spans="1:6" x14ac:dyDescent="0.2">
      <c r="A184" s="84">
        <v>22183</v>
      </c>
      <c r="B184" s="33"/>
      <c r="C184" s="34"/>
      <c r="D184" s="34"/>
      <c r="E184" s="35"/>
      <c r="F184" s="92">
        <v>36.9</v>
      </c>
    </row>
    <row r="185" spans="1:6" x14ac:dyDescent="0.2">
      <c r="A185" s="84">
        <v>22184</v>
      </c>
      <c r="B185" s="33"/>
      <c r="C185" s="34"/>
      <c r="D185" s="34"/>
      <c r="E185" s="35"/>
      <c r="F185" s="92">
        <v>48.9</v>
      </c>
    </row>
    <row r="186" spans="1:6" x14ac:dyDescent="0.2">
      <c r="A186" s="84">
        <v>22185</v>
      </c>
      <c r="B186" s="33"/>
      <c r="C186" s="34"/>
      <c r="D186" s="34"/>
      <c r="E186" s="35"/>
      <c r="F186" s="92">
        <v>67</v>
      </c>
    </row>
    <row r="187" spans="1:6" x14ac:dyDescent="0.2">
      <c r="A187" s="84">
        <v>22186</v>
      </c>
      <c r="B187" s="33"/>
      <c r="C187" s="34"/>
      <c r="D187" s="34"/>
      <c r="E187" s="35"/>
      <c r="F187" s="92">
        <v>48.9</v>
      </c>
    </row>
    <row r="188" spans="1:6" x14ac:dyDescent="0.2">
      <c r="A188" s="84">
        <v>22187</v>
      </c>
      <c r="B188" s="33"/>
      <c r="C188" s="34"/>
      <c r="D188" s="34"/>
      <c r="E188" s="35"/>
      <c r="F188" s="92">
        <v>84.9</v>
      </c>
    </row>
    <row r="189" spans="1:6" x14ac:dyDescent="0.2">
      <c r="A189" s="84">
        <v>22188</v>
      </c>
      <c r="B189" s="33"/>
      <c r="C189" s="34"/>
      <c r="D189" s="34"/>
      <c r="E189" s="35"/>
      <c r="F189" s="92">
        <v>67</v>
      </c>
    </row>
    <row r="190" spans="1:6" x14ac:dyDescent="0.2">
      <c r="A190" s="84">
        <v>22189</v>
      </c>
      <c r="B190" s="33"/>
      <c r="C190" s="34"/>
      <c r="D190" s="34"/>
      <c r="E190" s="35"/>
      <c r="F190" s="92">
        <v>80.900000000000006</v>
      </c>
    </row>
    <row r="191" spans="1:6" x14ac:dyDescent="0.2">
      <c r="A191" s="84" t="s">
        <v>216</v>
      </c>
      <c r="B191" s="33"/>
      <c r="C191" s="34"/>
      <c r="D191" s="34"/>
      <c r="E191" s="35"/>
      <c r="F191" s="92">
        <v>87.9</v>
      </c>
    </row>
    <row r="192" spans="1:6" x14ac:dyDescent="0.2">
      <c r="A192" s="84">
        <v>22190</v>
      </c>
      <c r="B192" s="33"/>
      <c r="C192" s="34"/>
      <c r="D192" s="34"/>
      <c r="E192" s="35"/>
      <c r="F192" s="92">
        <v>75.900000000000006</v>
      </c>
    </row>
    <row r="193" spans="1:6" x14ac:dyDescent="0.2">
      <c r="A193" s="84">
        <v>22191</v>
      </c>
      <c r="B193" s="33"/>
      <c r="C193" s="34"/>
      <c r="D193" s="34"/>
      <c r="E193" s="35"/>
      <c r="F193" s="92">
        <v>72.900000000000006</v>
      </c>
    </row>
    <row r="194" spans="1:6" x14ac:dyDescent="0.2">
      <c r="A194" s="84">
        <v>22192</v>
      </c>
      <c r="B194" s="33"/>
      <c r="C194" s="34"/>
      <c r="D194" s="34"/>
      <c r="E194" s="35"/>
      <c r="F194" s="92">
        <v>72.900000000000006</v>
      </c>
    </row>
    <row r="195" spans="1:6" x14ac:dyDescent="0.2">
      <c r="A195" s="84">
        <v>22194</v>
      </c>
      <c r="B195" s="33"/>
      <c r="C195" s="34"/>
      <c r="D195" s="34"/>
      <c r="E195" s="35"/>
      <c r="F195" s="92">
        <v>80.900000000000006</v>
      </c>
    </row>
    <row r="196" spans="1:6" x14ac:dyDescent="0.2">
      <c r="A196" s="84">
        <v>22195</v>
      </c>
      <c r="B196" s="33"/>
      <c r="C196" s="34"/>
      <c r="D196" s="34"/>
      <c r="E196" s="35"/>
      <c r="F196" s="92">
        <v>89</v>
      </c>
    </row>
    <row r="197" spans="1:6" x14ac:dyDescent="0.2">
      <c r="A197" s="84">
        <v>22196</v>
      </c>
      <c r="B197" s="33"/>
      <c r="C197" s="34"/>
      <c r="D197" s="34"/>
      <c r="E197" s="35"/>
      <c r="F197" s="92">
        <v>84.9</v>
      </c>
    </row>
    <row r="198" spans="1:6" x14ac:dyDescent="0.2">
      <c r="A198" s="84">
        <v>22197</v>
      </c>
      <c r="B198" s="33"/>
      <c r="C198" s="34"/>
      <c r="D198" s="34"/>
      <c r="E198" s="35"/>
      <c r="F198" s="92">
        <v>72.900000000000006</v>
      </c>
    </row>
    <row r="199" spans="1:6" x14ac:dyDescent="0.2">
      <c r="A199" s="84">
        <v>22198</v>
      </c>
      <c r="B199" s="33"/>
      <c r="C199" s="34"/>
      <c r="D199" s="34"/>
      <c r="E199" s="35"/>
      <c r="F199" s="92">
        <v>70.900000000000006</v>
      </c>
    </row>
    <row r="200" spans="1:6" x14ac:dyDescent="0.2">
      <c r="A200" s="84">
        <v>22199</v>
      </c>
      <c r="B200" s="33"/>
      <c r="C200" s="34"/>
      <c r="D200" s="34"/>
      <c r="E200" s="35"/>
      <c r="F200" s="92">
        <v>73.900000000000006</v>
      </c>
    </row>
    <row r="201" spans="1:6" x14ac:dyDescent="0.2">
      <c r="A201" s="84" t="s">
        <v>217</v>
      </c>
      <c r="B201" s="33"/>
      <c r="C201" s="34"/>
      <c r="D201" s="34"/>
      <c r="E201" s="35"/>
      <c r="F201" s="92">
        <v>81.900000000000006</v>
      </c>
    </row>
    <row r="202" spans="1:6" x14ac:dyDescent="0.2">
      <c r="A202" s="84">
        <v>22200</v>
      </c>
      <c r="B202" s="33"/>
      <c r="C202" s="34"/>
      <c r="D202" s="34"/>
      <c r="E202" s="35"/>
      <c r="F202" s="92">
        <v>72.900000000000006</v>
      </c>
    </row>
    <row r="203" spans="1:6" x14ac:dyDescent="0.2">
      <c r="A203" s="84">
        <v>22201</v>
      </c>
      <c r="B203" s="33"/>
      <c r="C203" s="34"/>
      <c r="D203" s="34"/>
      <c r="E203" s="35"/>
      <c r="F203" s="92">
        <v>72.900000000000006</v>
      </c>
    </row>
    <row r="204" spans="1:6" x14ac:dyDescent="0.2">
      <c r="A204" s="84">
        <v>22202</v>
      </c>
      <c r="B204" s="33"/>
      <c r="C204" s="34"/>
      <c r="D204" s="34"/>
      <c r="E204" s="35"/>
      <c r="F204" s="92">
        <v>76.900000000000006</v>
      </c>
    </row>
    <row r="205" spans="1:6" x14ac:dyDescent="0.2">
      <c r="A205" s="84">
        <v>22205</v>
      </c>
      <c r="B205" s="33"/>
      <c r="C205" s="34"/>
      <c r="D205" s="34"/>
      <c r="E205" s="35"/>
      <c r="F205" s="92">
        <v>96.9</v>
      </c>
    </row>
    <row r="206" spans="1:6" x14ac:dyDescent="0.2">
      <c r="A206" s="84">
        <v>22209</v>
      </c>
      <c r="B206" s="33"/>
      <c r="C206" s="34"/>
      <c r="D206" s="34"/>
      <c r="E206" s="35"/>
      <c r="F206" s="92">
        <v>59.9</v>
      </c>
    </row>
    <row r="207" spans="1:6" x14ac:dyDescent="0.2">
      <c r="A207" s="84">
        <v>22210</v>
      </c>
      <c r="B207" s="33"/>
      <c r="C207" s="34"/>
      <c r="D207" s="34"/>
      <c r="E207" s="35"/>
      <c r="F207" s="92">
        <v>60.9</v>
      </c>
    </row>
    <row r="208" spans="1:6" x14ac:dyDescent="0.2">
      <c r="A208" s="84">
        <v>22212</v>
      </c>
      <c r="B208" s="33"/>
      <c r="C208" s="34"/>
      <c r="D208" s="34"/>
      <c r="E208" s="35"/>
      <c r="F208" s="92">
        <v>82.9</v>
      </c>
    </row>
    <row r="209" spans="1:6" x14ac:dyDescent="0.2">
      <c r="A209" s="84">
        <v>22213</v>
      </c>
      <c r="B209" s="33"/>
      <c r="C209" s="34"/>
      <c r="D209" s="34"/>
      <c r="E209" s="35"/>
      <c r="F209" s="92">
        <v>145.9</v>
      </c>
    </row>
    <row r="210" spans="1:6" x14ac:dyDescent="0.2">
      <c r="A210" s="84">
        <v>22214</v>
      </c>
      <c r="B210" s="33"/>
      <c r="C210" s="34"/>
      <c r="D210" s="34"/>
      <c r="E210" s="35"/>
      <c r="F210" s="92">
        <v>157.9</v>
      </c>
    </row>
    <row r="211" spans="1:6" x14ac:dyDescent="0.2">
      <c r="A211" s="84">
        <v>22215</v>
      </c>
      <c r="B211" s="33"/>
      <c r="C211" s="34"/>
      <c r="D211" s="34"/>
      <c r="E211" s="35"/>
      <c r="F211" s="92">
        <v>96.9</v>
      </c>
    </row>
    <row r="212" spans="1:6" x14ac:dyDescent="0.2">
      <c r="A212" s="84">
        <v>22216</v>
      </c>
      <c r="B212" s="33"/>
      <c r="C212" s="34"/>
      <c r="D212" s="34"/>
      <c r="E212" s="35"/>
      <c r="F212" s="92">
        <v>96.9</v>
      </c>
    </row>
    <row r="213" spans="1:6" x14ac:dyDescent="0.2">
      <c r="A213" s="84">
        <v>22217</v>
      </c>
      <c r="B213" s="33"/>
      <c r="C213" s="34"/>
      <c r="D213" s="34"/>
      <c r="E213" s="35"/>
      <c r="F213" s="92">
        <v>96.9</v>
      </c>
    </row>
    <row r="214" spans="1:6" x14ac:dyDescent="0.2">
      <c r="A214" s="84">
        <v>22218</v>
      </c>
      <c r="B214" s="33"/>
      <c r="C214" s="34"/>
      <c r="D214" s="34"/>
      <c r="E214" s="35"/>
      <c r="F214" s="92">
        <v>96.9</v>
      </c>
    </row>
    <row r="215" spans="1:6" x14ac:dyDescent="0.2">
      <c r="A215" s="84">
        <v>22219</v>
      </c>
      <c r="B215" s="33"/>
      <c r="C215" s="34"/>
      <c r="D215" s="34"/>
      <c r="E215" s="35"/>
      <c r="F215" s="92">
        <v>108.9</v>
      </c>
    </row>
    <row r="216" spans="1:6" x14ac:dyDescent="0.2">
      <c r="A216" s="84">
        <v>22230</v>
      </c>
      <c r="B216" s="33"/>
      <c r="C216" s="34"/>
      <c r="D216" s="34"/>
      <c r="E216" s="35"/>
      <c r="F216" s="92">
        <v>101.9</v>
      </c>
    </row>
    <row r="217" spans="1:6" x14ac:dyDescent="0.2">
      <c r="A217" s="84">
        <v>22231</v>
      </c>
      <c r="B217" s="33"/>
      <c r="C217" s="34"/>
      <c r="D217" s="34"/>
      <c r="E217" s="35"/>
      <c r="F217" s="92">
        <v>104.9</v>
      </c>
    </row>
    <row r="218" spans="1:6" x14ac:dyDescent="0.2">
      <c r="A218" s="84">
        <v>22233</v>
      </c>
      <c r="B218" s="33"/>
      <c r="C218" s="34"/>
      <c r="D218" s="34"/>
      <c r="E218" s="35"/>
      <c r="F218" s="92">
        <v>108.9</v>
      </c>
    </row>
    <row r="219" spans="1:6" x14ac:dyDescent="0.2">
      <c r="A219" s="84">
        <v>22235</v>
      </c>
      <c r="B219" s="33"/>
      <c r="C219" s="34"/>
      <c r="D219" s="34"/>
      <c r="E219" s="35"/>
      <c r="F219" s="92">
        <v>102.9</v>
      </c>
    </row>
    <row r="220" spans="1:6" x14ac:dyDescent="0.2">
      <c r="A220" s="84">
        <v>22236</v>
      </c>
      <c r="B220" s="33"/>
      <c r="C220" s="34"/>
      <c r="D220" s="34"/>
      <c r="E220" s="35"/>
      <c r="F220" s="92">
        <v>60.9</v>
      </c>
    </row>
    <row r="221" spans="1:6" x14ac:dyDescent="0.2">
      <c r="A221" s="84">
        <v>22237</v>
      </c>
      <c r="B221" s="33"/>
      <c r="C221" s="34"/>
      <c r="D221" s="34"/>
      <c r="E221" s="35"/>
      <c r="F221" s="92">
        <v>59.9</v>
      </c>
    </row>
    <row r="222" spans="1:6" x14ac:dyDescent="0.2">
      <c r="A222" s="84">
        <v>22238</v>
      </c>
      <c r="B222" s="33"/>
      <c r="C222" s="34"/>
      <c r="D222" s="34"/>
      <c r="E222" s="35"/>
      <c r="F222" s="92">
        <v>70.900000000000006</v>
      </c>
    </row>
    <row r="223" spans="1:6" x14ac:dyDescent="0.2">
      <c r="A223" s="84">
        <v>22239</v>
      </c>
      <c r="B223" s="33"/>
      <c r="C223" s="34"/>
      <c r="D223" s="34"/>
      <c r="E223" s="35"/>
      <c r="F223" s="92">
        <v>67</v>
      </c>
    </row>
    <row r="224" spans="1:6" x14ac:dyDescent="0.2">
      <c r="A224" s="84">
        <v>22240</v>
      </c>
      <c r="B224" s="33"/>
      <c r="C224" s="34"/>
      <c r="D224" s="34"/>
      <c r="E224" s="35"/>
      <c r="F224" s="92">
        <v>69.900000000000006</v>
      </c>
    </row>
    <row r="225" spans="1:6" x14ac:dyDescent="0.2">
      <c r="A225" s="84">
        <v>22242</v>
      </c>
      <c r="B225" s="33"/>
      <c r="C225" s="34"/>
      <c r="D225" s="34"/>
      <c r="E225" s="35"/>
      <c r="F225" s="92">
        <v>48.9</v>
      </c>
    </row>
    <row r="226" spans="1:6" x14ac:dyDescent="0.2">
      <c r="A226" s="84">
        <v>22243</v>
      </c>
      <c r="B226" s="33"/>
      <c r="C226" s="34"/>
      <c r="D226" s="34"/>
      <c r="E226" s="35"/>
      <c r="F226" s="92">
        <v>67</v>
      </c>
    </row>
    <row r="227" spans="1:6" x14ac:dyDescent="0.2">
      <c r="A227" s="84">
        <v>22244</v>
      </c>
      <c r="B227" s="33"/>
      <c r="C227" s="34"/>
      <c r="D227" s="34"/>
      <c r="E227" s="35"/>
      <c r="F227" s="92">
        <v>54.9</v>
      </c>
    </row>
    <row r="228" spans="1:6" x14ac:dyDescent="0.2">
      <c r="A228" s="84">
        <v>22246</v>
      </c>
      <c r="B228" s="33"/>
      <c r="C228" s="34"/>
      <c r="D228" s="34"/>
      <c r="E228" s="35"/>
      <c r="F228" s="92">
        <v>96.9</v>
      </c>
    </row>
    <row r="229" spans="1:6" x14ac:dyDescent="0.2">
      <c r="A229" s="85"/>
      <c r="B229" s="33"/>
      <c r="C229" s="34"/>
      <c r="D229" s="34"/>
      <c r="E229" s="35"/>
    </row>
    <row r="230" spans="1:6" x14ac:dyDescent="0.2">
      <c r="A230" s="85"/>
      <c r="B230" s="33"/>
      <c r="C230" s="34"/>
      <c r="D230" s="34"/>
      <c r="E230" s="35"/>
    </row>
    <row r="231" spans="1:6" x14ac:dyDescent="0.2">
      <c r="A231" s="85"/>
      <c r="B231" s="33"/>
      <c r="C231" s="34"/>
      <c r="D231" s="34"/>
      <c r="E231" s="35"/>
    </row>
    <row r="232" spans="1:6" x14ac:dyDescent="0.2">
      <c r="A232" s="85"/>
      <c r="B232" s="33"/>
      <c r="C232" s="34"/>
      <c r="D232" s="34"/>
      <c r="E232" s="35"/>
    </row>
    <row r="233" spans="1:6" x14ac:dyDescent="0.2">
      <c r="A233" s="85"/>
      <c r="B233" s="33"/>
      <c r="C233" s="34"/>
      <c r="D233" s="34"/>
      <c r="E233" s="35"/>
    </row>
    <row r="234" spans="1:6" x14ac:dyDescent="0.2">
      <c r="A234" s="85"/>
      <c r="B234" s="33"/>
      <c r="C234" s="34"/>
      <c r="D234" s="34"/>
      <c r="E234" s="35"/>
    </row>
    <row r="235" spans="1:6" x14ac:dyDescent="0.2">
      <c r="A235" s="85"/>
      <c r="B235" s="33"/>
      <c r="C235" s="34"/>
      <c r="D235" s="34"/>
      <c r="E235" s="35"/>
    </row>
    <row r="236" spans="1:6" x14ac:dyDescent="0.2">
      <c r="A236" s="85"/>
      <c r="B236" s="33"/>
      <c r="C236" s="34"/>
      <c r="D236" s="34"/>
      <c r="E236" s="35"/>
    </row>
    <row r="237" spans="1:6" x14ac:dyDescent="0.2">
      <c r="A237" s="85"/>
      <c r="B237" s="33"/>
      <c r="C237" s="34"/>
      <c r="D237" s="34"/>
      <c r="E237" s="35"/>
    </row>
    <row r="238" spans="1:6" x14ac:dyDescent="0.2">
      <c r="A238" s="85"/>
      <c r="B238" s="33"/>
      <c r="C238" s="34"/>
      <c r="D238" s="34"/>
      <c r="E238" s="35"/>
    </row>
    <row r="239" spans="1:6" x14ac:dyDescent="0.2">
      <c r="A239" s="85"/>
      <c r="B239" s="33"/>
      <c r="C239" s="34"/>
      <c r="D239" s="34"/>
      <c r="E239" s="35"/>
    </row>
    <row r="240" spans="1:6" x14ac:dyDescent="0.2">
      <c r="A240" s="85"/>
      <c r="B240" s="33"/>
      <c r="C240" s="34"/>
      <c r="D240" s="34"/>
      <c r="E240" s="35"/>
    </row>
    <row r="241" spans="1:5" x14ac:dyDescent="0.2">
      <c r="A241" s="85"/>
      <c r="B241" s="33"/>
      <c r="C241" s="34"/>
      <c r="D241" s="34"/>
      <c r="E241" s="35"/>
    </row>
    <row r="242" spans="1:5" x14ac:dyDescent="0.2">
      <c r="A242" s="85"/>
      <c r="B242" s="33"/>
      <c r="C242" s="34"/>
      <c r="D242" s="34"/>
      <c r="E242" s="35"/>
    </row>
    <row r="243" spans="1:5" x14ac:dyDescent="0.2">
      <c r="A243" s="85"/>
      <c r="B243" s="33"/>
      <c r="C243" s="34"/>
      <c r="D243" s="34"/>
      <c r="E243" s="35"/>
    </row>
    <row r="244" spans="1:5" x14ac:dyDescent="0.2">
      <c r="A244" s="85"/>
      <c r="B244" s="33"/>
      <c r="C244" s="34"/>
      <c r="D244" s="34"/>
      <c r="E244" s="35"/>
    </row>
    <row r="245" spans="1:5" x14ac:dyDescent="0.2">
      <c r="A245" s="85"/>
      <c r="B245" s="33"/>
      <c r="C245" s="34"/>
      <c r="D245" s="34"/>
      <c r="E245" s="35"/>
    </row>
    <row r="246" spans="1:5" x14ac:dyDescent="0.2">
      <c r="A246" s="85"/>
      <c r="B246" s="33"/>
      <c r="C246" s="34"/>
      <c r="D246" s="34"/>
      <c r="E246" s="35"/>
    </row>
    <row r="247" spans="1:5" x14ac:dyDescent="0.2">
      <c r="A247" s="85"/>
      <c r="B247" s="33"/>
      <c r="C247" s="34"/>
      <c r="D247" s="34"/>
      <c r="E247" s="35"/>
    </row>
    <row r="248" spans="1:5" x14ac:dyDescent="0.2">
      <c r="A248" s="85"/>
      <c r="B248" s="33"/>
      <c r="C248" s="34"/>
      <c r="D248" s="34"/>
      <c r="E248" s="35"/>
    </row>
    <row r="249" spans="1:5" x14ac:dyDescent="0.2">
      <c r="A249" s="85"/>
      <c r="B249" s="33"/>
      <c r="C249" s="34"/>
      <c r="D249" s="34"/>
      <c r="E249" s="35"/>
    </row>
    <row r="250" spans="1:5" x14ac:dyDescent="0.2">
      <c r="A250" s="85"/>
      <c r="B250" s="33"/>
      <c r="C250" s="34"/>
      <c r="D250" s="34"/>
      <c r="E250" s="35"/>
    </row>
    <row r="251" spans="1:5" x14ac:dyDescent="0.2">
      <c r="A251" s="85"/>
      <c r="B251" s="33"/>
      <c r="C251" s="34"/>
      <c r="D251" s="34"/>
      <c r="E251" s="35"/>
    </row>
    <row r="252" spans="1:5" x14ac:dyDescent="0.2">
      <c r="A252" s="85"/>
      <c r="B252" s="33"/>
      <c r="C252" s="34"/>
      <c r="D252" s="34"/>
      <c r="E252" s="35"/>
    </row>
    <row r="253" spans="1:5" x14ac:dyDescent="0.2">
      <c r="A253" s="85"/>
      <c r="B253" s="33"/>
      <c r="C253" s="34"/>
      <c r="D253" s="34"/>
      <c r="E253" s="35"/>
    </row>
    <row r="254" spans="1:5" x14ac:dyDescent="0.2">
      <c r="A254" s="85"/>
      <c r="B254" s="33"/>
      <c r="C254" s="34"/>
      <c r="D254" s="34"/>
      <c r="E254" s="35"/>
    </row>
    <row r="255" spans="1:5" x14ac:dyDescent="0.2">
      <c r="A255" s="85"/>
      <c r="B255" s="33"/>
      <c r="C255" s="34"/>
      <c r="D255" s="34"/>
      <c r="E255" s="35"/>
    </row>
    <row r="256" spans="1:5" x14ac:dyDescent="0.2">
      <c r="A256" s="85"/>
      <c r="B256" s="33"/>
      <c r="C256" s="34"/>
      <c r="D256" s="34"/>
      <c r="E256" s="35"/>
    </row>
    <row r="257" spans="1:5" x14ac:dyDescent="0.2">
      <c r="A257" s="85"/>
      <c r="B257" s="33"/>
      <c r="C257" s="34"/>
      <c r="D257" s="34"/>
      <c r="E257" s="35"/>
    </row>
    <row r="258" spans="1:5" x14ac:dyDescent="0.2">
      <c r="A258" s="85"/>
      <c r="B258" s="33"/>
      <c r="C258" s="34"/>
      <c r="D258" s="34"/>
      <c r="E258" s="35"/>
    </row>
    <row r="259" spans="1:5" x14ac:dyDescent="0.2">
      <c r="A259" s="85"/>
      <c r="B259" s="33"/>
      <c r="C259" s="34"/>
      <c r="D259" s="34"/>
      <c r="E259" s="35"/>
    </row>
    <row r="260" spans="1:5" x14ac:dyDescent="0.2">
      <c r="A260" s="85"/>
      <c r="B260" s="33"/>
      <c r="C260" s="34"/>
      <c r="D260" s="34"/>
      <c r="E260" s="35"/>
    </row>
    <row r="261" spans="1:5" x14ac:dyDescent="0.2">
      <c r="A261" s="85"/>
      <c r="B261" s="33"/>
      <c r="C261" s="34"/>
      <c r="D261" s="34"/>
      <c r="E261" s="35"/>
    </row>
    <row r="262" spans="1:5" x14ac:dyDescent="0.2">
      <c r="A262" s="85"/>
      <c r="B262" s="33"/>
      <c r="C262" s="34"/>
      <c r="D262" s="34"/>
      <c r="E262" s="35"/>
    </row>
    <row r="263" spans="1:5" x14ac:dyDescent="0.2">
      <c r="A263" s="85"/>
      <c r="B263" s="33"/>
      <c r="C263" s="34"/>
      <c r="D263" s="34"/>
      <c r="E263" s="35"/>
    </row>
    <row r="264" spans="1:5" x14ac:dyDescent="0.2">
      <c r="A264" s="85"/>
      <c r="B264" s="33"/>
      <c r="C264" s="34"/>
      <c r="D264" s="34"/>
      <c r="E264" s="35"/>
    </row>
    <row r="265" spans="1:5" x14ac:dyDescent="0.2">
      <c r="A265" s="85"/>
      <c r="B265" s="33"/>
      <c r="C265" s="34"/>
      <c r="D265" s="34"/>
      <c r="E265" s="35"/>
    </row>
    <row r="266" spans="1:5" x14ac:dyDescent="0.2">
      <c r="A266" s="85"/>
      <c r="B266" s="33"/>
      <c r="C266" s="34"/>
      <c r="D266" s="34"/>
      <c r="E266" s="35"/>
    </row>
    <row r="267" spans="1:5" x14ac:dyDescent="0.2">
      <c r="A267" s="85"/>
      <c r="B267" s="33"/>
      <c r="C267" s="34"/>
      <c r="D267" s="34"/>
      <c r="E267" s="35"/>
    </row>
    <row r="268" spans="1:5" x14ac:dyDescent="0.2">
      <c r="A268" s="85"/>
      <c r="B268" s="33"/>
      <c r="C268" s="34"/>
      <c r="D268" s="34"/>
      <c r="E268" s="35"/>
    </row>
    <row r="269" spans="1:5" x14ac:dyDescent="0.2">
      <c r="A269" s="85"/>
      <c r="B269" s="33"/>
      <c r="C269" s="34"/>
      <c r="D269" s="34"/>
      <c r="E269" s="35"/>
    </row>
    <row r="270" spans="1:5" x14ac:dyDescent="0.2">
      <c r="A270" s="85"/>
      <c r="B270" s="33"/>
      <c r="C270" s="34"/>
      <c r="D270" s="34"/>
      <c r="E270" s="35"/>
    </row>
    <row r="271" spans="1:5" x14ac:dyDescent="0.2">
      <c r="A271" s="85"/>
      <c r="B271" s="33"/>
      <c r="C271" s="34"/>
      <c r="D271" s="34"/>
      <c r="E271" s="35"/>
    </row>
    <row r="272" spans="1:5" x14ac:dyDescent="0.2">
      <c r="A272" s="85"/>
      <c r="B272" s="33"/>
      <c r="C272" s="34"/>
      <c r="D272" s="34"/>
      <c r="E272" s="35"/>
    </row>
    <row r="273" spans="1:5" x14ac:dyDescent="0.2">
      <c r="A273" s="85"/>
      <c r="B273" s="33"/>
      <c r="C273" s="34"/>
      <c r="D273" s="34"/>
      <c r="E273" s="35"/>
    </row>
    <row r="274" spans="1:5" x14ac:dyDescent="0.2">
      <c r="A274" s="85"/>
      <c r="B274" s="33"/>
      <c r="C274" s="34"/>
      <c r="D274" s="34"/>
      <c r="E274" s="35"/>
    </row>
    <row r="275" spans="1:5" x14ac:dyDescent="0.2">
      <c r="A275" s="85"/>
      <c r="B275" s="33"/>
      <c r="C275" s="34"/>
      <c r="D275" s="34"/>
      <c r="E275" s="35"/>
    </row>
    <row r="276" spans="1:5" x14ac:dyDescent="0.2">
      <c r="A276" s="85"/>
      <c r="B276" s="33"/>
      <c r="C276" s="34"/>
      <c r="D276" s="34"/>
      <c r="E276" s="35"/>
    </row>
    <row r="277" spans="1:5" x14ac:dyDescent="0.2">
      <c r="A277" s="85"/>
      <c r="B277" s="33"/>
      <c r="C277" s="34"/>
      <c r="D277" s="34"/>
      <c r="E277" s="35"/>
    </row>
    <row r="278" spans="1:5" x14ac:dyDescent="0.2">
      <c r="A278" s="85"/>
      <c r="B278" s="33"/>
      <c r="C278" s="34"/>
      <c r="D278" s="34"/>
      <c r="E278" s="35"/>
    </row>
    <row r="279" spans="1:5" x14ac:dyDescent="0.2">
      <c r="A279" s="85"/>
      <c r="B279" s="33"/>
      <c r="C279" s="34"/>
      <c r="D279" s="34"/>
      <c r="E279" s="35"/>
    </row>
    <row r="280" spans="1:5" x14ac:dyDescent="0.2">
      <c r="A280" s="85"/>
      <c r="B280" s="33"/>
      <c r="C280" s="34"/>
      <c r="D280" s="34"/>
      <c r="E280" s="35"/>
    </row>
    <row r="281" spans="1:5" x14ac:dyDescent="0.2">
      <c r="A281" s="85"/>
      <c r="B281" s="33"/>
      <c r="C281" s="34"/>
      <c r="D281" s="34"/>
      <c r="E281" s="35"/>
    </row>
    <row r="282" spans="1:5" x14ac:dyDescent="0.2">
      <c r="A282" s="85"/>
      <c r="B282" s="33"/>
      <c r="C282" s="34"/>
      <c r="D282" s="34"/>
      <c r="E282" s="35"/>
    </row>
    <row r="283" spans="1:5" x14ac:dyDescent="0.2">
      <c r="A283" s="85"/>
      <c r="B283" s="33"/>
      <c r="C283" s="34"/>
      <c r="D283" s="34"/>
      <c r="E283" s="35"/>
    </row>
    <row r="284" spans="1:5" x14ac:dyDescent="0.2">
      <c r="A284" s="85"/>
      <c r="B284" s="33"/>
      <c r="C284" s="34"/>
      <c r="D284" s="34"/>
      <c r="E284" s="35"/>
    </row>
    <row r="285" spans="1:5" x14ac:dyDescent="0.2">
      <c r="A285" s="85"/>
      <c r="B285" s="33"/>
      <c r="C285" s="34"/>
      <c r="D285" s="34"/>
      <c r="E285" s="35"/>
    </row>
    <row r="286" spans="1:5" x14ac:dyDescent="0.2">
      <c r="A286" s="85"/>
      <c r="B286" s="33"/>
      <c r="C286" s="34"/>
      <c r="D286" s="34"/>
      <c r="E286" s="35"/>
    </row>
    <row r="287" spans="1:5" x14ac:dyDescent="0.2">
      <c r="A287" s="85"/>
      <c r="B287" s="33"/>
      <c r="C287" s="34"/>
      <c r="D287" s="34"/>
      <c r="E287" s="35"/>
    </row>
    <row r="288" spans="1:5" x14ac:dyDescent="0.2">
      <c r="A288" s="85"/>
      <c r="B288" s="33"/>
      <c r="C288" s="34"/>
      <c r="D288" s="34"/>
      <c r="E288" s="35"/>
    </row>
    <row r="289" spans="1:5" x14ac:dyDescent="0.2">
      <c r="A289" s="85"/>
      <c r="B289" s="33"/>
      <c r="C289" s="34"/>
      <c r="D289" s="34"/>
      <c r="E289" s="35"/>
    </row>
    <row r="290" spans="1:5" x14ac:dyDescent="0.2">
      <c r="A290" s="85"/>
      <c r="B290" s="33"/>
      <c r="C290" s="34"/>
      <c r="D290" s="34"/>
      <c r="E290" s="35"/>
    </row>
    <row r="291" spans="1:5" x14ac:dyDescent="0.2">
      <c r="A291" s="85"/>
      <c r="B291" s="33"/>
      <c r="C291" s="34"/>
      <c r="D291" s="34"/>
      <c r="E291" s="35"/>
    </row>
    <row r="292" spans="1:5" x14ac:dyDescent="0.2">
      <c r="A292" s="85"/>
      <c r="B292" s="33"/>
      <c r="C292" s="34"/>
      <c r="D292" s="34"/>
      <c r="E292" s="35"/>
    </row>
    <row r="293" spans="1:5" x14ac:dyDescent="0.2">
      <c r="A293" s="85"/>
      <c r="B293" s="33"/>
      <c r="C293" s="34"/>
      <c r="D293" s="34"/>
      <c r="E293" s="35"/>
    </row>
    <row r="294" spans="1:5" x14ac:dyDescent="0.2">
      <c r="A294" s="85"/>
      <c r="B294" s="33"/>
      <c r="C294" s="34"/>
      <c r="D294" s="34"/>
      <c r="E294" s="35"/>
    </row>
    <row r="295" spans="1:5" x14ac:dyDescent="0.2">
      <c r="A295" s="85"/>
      <c r="B295" s="33"/>
      <c r="C295" s="34"/>
      <c r="D295" s="34"/>
      <c r="E295" s="35"/>
    </row>
    <row r="296" spans="1:5" x14ac:dyDescent="0.2">
      <c r="A296" s="85"/>
      <c r="B296" s="33"/>
      <c r="C296" s="34"/>
      <c r="D296" s="34"/>
      <c r="E296" s="35"/>
    </row>
    <row r="297" spans="1:5" x14ac:dyDescent="0.2">
      <c r="A297" s="85"/>
      <c r="B297" s="33"/>
      <c r="C297" s="34"/>
      <c r="D297" s="34"/>
      <c r="E297" s="35"/>
    </row>
    <row r="298" spans="1:5" x14ac:dyDescent="0.2">
      <c r="A298" s="85"/>
      <c r="B298" s="33"/>
      <c r="C298" s="34"/>
      <c r="D298" s="34"/>
      <c r="E298" s="35"/>
    </row>
    <row r="299" spans="1:5" x14ac:dyDescent="0.2">
      <c r="A299" s="85"/>
      <c r="B299" s="33"/>
      <c r="C299" s="34"/>
      <c r="D299" s="34"/>
      <c r="E299" s="35"/>
    </row>
    <row r="300" spans="1:5" x14ac:dyDescent="0.2">
      <c r="A300" s="85"/>
      <c r="B300" s="33"/>
      <c r="C300" s="34"/>
      <c r="D300" s="34"/>
      <c r="E300" s="35"/>
    </row>
    <row r="301" spans="1:5" x14ac:dyDescent="0.2">
      <c r="A301" s="85"/>
      <c r="B301" s="33"/>
      <c r="C301" s="34"/>
      <c r="D301" s="34"/>
      <c r="E301" s="35"/>
    </row>
    <row r="302" spans="1:5" x14ac:dyDescent="0.2">
      <c r="A302" s="85"/>
      <c r="B302" s="33"/>
      <c r="C302" s="34"/>
      <c r="D302" s="34"/>
      <c r="E302" s="35"/>
    </row>
    <row r="303" spans="1:5" x14ac:dyDescent="0.2">
      <c r="A303" s="85"/>
      <c r="B303" s="33"/>
      <c r="C303" s="34"/>
      <c r="D303" s="34"/>
      <c r="E303" s="35"/>
    </row>
    <row r="304" spans="1:5" x14ac:dyDescent="0.2">
      <c r="A304" s="85"/>
      <c r="B304" s="33"/>
      <c r="C304" s="34"/>
      <c r="D304" s="34"/>
      <c r="E304" s="35"/>
    </row>
    <row r="305" spans="1:5" x14ac:dyDescent="0.2">
      <c r="A305" s="85"/>
      <c r="B305" s="33"/>
      <c r="C305" s="34"/>
      <c r="D305" s="34"/>
      <c r="E305" s="35"/>
    </row>
    <row r="306" spans="1:5" x14ac:dyDescent="0.2">
      <c r="A306" s="85"/>
      <c r="B306" s="33"/>
      <c r="C306" s="34"/>
      <c r="D306" s="34"/>
      <c r="E306" s="35"/>
    </row>
    <row r="307" spans="1:5" x14ac:dyDescent="0.2">
      <c r="A307" s="85"/>
      <c r="B307" s="33"/>
      <c r="C307" s="34"/>
      <c r="D307" s="34"/>
      <c r="E307" s="35"/>
    </row>
    <row r="308" spans="1:5" x14ac:dyDescent="0.2">
      <c r="A308" s="85"/>
      <c r="B308" s="33"/>
      <c r="C308" s="34"/>
      <c r="D308" s="34"/>
      <c r="E308" s="35"/>
    </row>
    <row r="309" spans="1:5" x14ac:dyDescent="0.2">
      <c r="A309" s="85"/>
      <c r="B309" s="33"/>
      <c r="C309" s="34"/>
      <c r="D309" s="34"/>
      <c r="E309" s="35"/>
    </row>
    <row r="310" spans="1:5" x14ac:dyDescent="0.2">
      <c r="A310" s="85"/>
      <c r="B310" s="33"/>
      <c r="C310" s="34"/>
      <c r="D310" s="34"/>
      <c r="E310" s="35"/>
    </row>
    <row r="311" spans="1:5" x14ac:dyDescent="0.2">
      <c r="A311" s="85"/>
      <c r="B311" s="33"/>
      <c r="C311" s="34"/>
      <c r="D311" s="34"/>
      <c r="E311" s="35"/>
    </row>
    <row r="312" spans="1:5" x14ac:dyDescent="0.2">
      <c r="A312" s="85"/>
      <c r="B312" s="33"/>
      <c r="C312" s="34"/>
      <c r="D312" s="34"/>
      <c r="E312" s="35"/>
    </row>
    <row r="313" spans="1:5" x14ac:dyDescent="0.2">
      <c r="A313" s="85"/>
      <c r="B313" s="33"/>
      <c r="C313" s="34"/>
      <c r="D313" s="34"/>
      <c r="E313" s="35"/>
    </row>
    <row r="314" spans="1:5" x14ac:dyDescent="0.2">
      <c r="A314" s="85"/>
      <c r="B314" s="33"/>
      <c r="C314" s="34"/>
      <c r="D314" s="34"/>
      <c r="E314" s="35"/>
    </row>
    <row r="315" spans="1:5" x14ac:dyDescent="0.2">
      <c r="A315" s="85"/>
      <c r="B315" s="33"/>
      <c r="C315" s="34"/>
      <c r="D315" s="34"/>
      <c r="E315" s="35"/>
    </row>
    <row r="316" spans="1:5" x14ac:dyDescent="0.2">
      <c r="A316" s="85"/>
      <c r="B316" s="33"/>
      <c r="C316" s="34"/>
      <c r="D316" s="34"/>
      <c r="E316" s="35"/>
    </row>
    <row r="317" spans="1:5" x14ac:dyDescent="0.2">
      <c r="A317" s="85"/>
      <c r="B317" s="33"/>
      <c r="C317" s="34"/>
      <c r="D317" s="34"/>
      <c r="E317" s="35"/>
    </row>
    <row r="318" spans="1:5" x14ac:dyDescent="0.2">
      <c r="A318" s="85"/>
      <c r="B318" s="33"/>
      <c r="C318" s="34"/>
      <c r="D318" s="34"/>
      <c r="E318" s="35"/>
    </row>
    <row r="319" spans="1:5" x14ac:dyDescent="0.2">
      <c r="A319" s="85"/>
      <c r="B319" s="33"/>
      <c r="C319" s="34"/>
      <c r="D319" s="34"/>
      <c r="E319" s="35"/>
    </row>
    <row r="320" spans="1:5" x14ac:dyDescent="0.2">
      <c r="A320" s="85"/>
      <c r="B320" s="33"/>
      <c r="C320" s="34"/>
      <c r="D320" s="34"/>
      <c r="E320" s="35"/>
    </row>
    <row r="321" spans="1:5" x14ac:dyDescent="0.2">
      <c r="A321" s="85"/>
      <c r="B321" s="33"/>
      <c r="C321" s="34"/>
      <c r="D321" s="34"/>
      <c r="E321" s="35"/>
    </row>
    <row r="322" spans="1:5" x14ac:dyDescent="0.2">
      <c r="A322" s="85"/>
      <c r="B322" s="33"/>
      <c r="C322" s="34"/>
      <c r="D322" s="34"/>
      <c r="E322" s="35"/>
    </row>
    <row r="323" spans="1:5" x14ac:dyDescent="0.2">
      <c r="A323" s="85"/>
      <c r="B323" s="33"/>
      <c r="C323" s="34"/>
      <c r="D323" s="34"/>
      <c r="E323" s="35"/>
    </row>
    <row r="324" spans="1:5" x14ac:dyDescent="0.2">
      <c r="A324" s="85"/>
      <c r="B324" s="33"/>
      <c r="C324" s="34"/>
      <c r="D324" s="34"/>
      <c r="E324" s="35"/>
    </row>
    <row r="325" spans="1:5" x14ac:dyDescent="0.2">
      <c r="A325" s="85"/>
      <c r="B325" s="33"/>
      <c r="C325" s="34"/>
      <c r="D325" s="34"/>
      <c r="E325" s="35"/>
    </row>
    <row r="326" spans="1:5" x14ac:dyDescent="0.2">
      <c r="A326" s="85"/>
      <c r="B326" s="33"/>
      <c r="C326" s="34"/>
      <c r="D326" s="34"/>
      <c r="E326" s="35"/>
    </row>
    <row r="327" spans="1:5" x14ac:dyDescent="0.2">
      <c r="A327" s="85"/>
      <c r="B327" s="33"/>
      <c r="C327" s="34"/>
      <c r="D327" s="34"/>
      <c r="E327" s="35"/>
    </row>
    <row r="328" spans="1:5" x14ac:dyDescent="0.2">
      <c r="A328" s="85"/>
      <c r="B328" s="33"/>
      <c r="C328" s="34"/>
      <c r="D328" s="34"/>
      <c r="E328" s="35"/>
    </row>
    <row r="329" spans="1:5" x14ac:dyDescent="0.2">
      <c r="A329" s="85"/>
      <c r="B329" s="33"/>
      <c r="C329" s="34"/>
      <c r="D329" s="34"/>
      <c r="E329" s="35"/>
    </row>
    <row r="330" spans="1:5" x14ac:dyDescent="0.2">
      <c r="A330" s="85"/>
      <c r="B330" s="33"/>
      <c r="C330" s="34"/>
      <c r="D330" s="34"/>
      <c r="E330" s="35"/>
    </row>
    <row r="331" spans="1:5" x14ac:dyDescent="0.2">
      <c r="A331" s="85"/>
      <c r="B331" s="33"/>
      <c r="C331" s="34"/>
      <c r="D331" s="34"/>
      <c r="E331" s="35"/>
    </row>
    <row r="332" spans="1:5" x14ac:dyDescent="0.2">
      <c r="A332" s="85"/>
      <c r="B332" s="33"/>
      <c r="C332" s="34"/>
      <c r="D332" s="34"/>
      <c r="E332" s="35"/>
    </row>
    <row r="333" spans="1:5" x14ac:dyDescent="0.2">
      <c r="A333" s="85"/>
      <c r="B333" s="33"/>
      <c r="C333" s="34"/>
      <c r="D333" s="34"/>
      <c r="E333" s="35"/>
    </row>
    <row r="334" spans="1:5" x14ac:dyDescent="0.2">
      <c r="A334" s="85"/>
      <c r="B334" s="33"/>
      <c r="C334" s="34"/>
      <c r="D334" s="34"/>
      <c r="E334" s="35"/>
    </row>
    <row r="335" spans="1:5" x14ac:dyDescent="0.2">
      <c r="A335" s="85"/>
      <c r="B335" s="33"/>
      <c r="C335" s="34"/>
      <c r="D335" s="34"/>
      <c r="E335" s="35"/>
    </row>
    <row r="336" spans="1:5" x14ac:dyDescent="0.2">
      <c r="A336" s="85"/>
      <c r="B336" s="33"/>
      <c r="C336" s="34"/>
      <c r="D336" s="34"/>
      <c r="E336" s="35"/>
    </row>
    <row r="337" spans="1:5" x14ac:dyDescent="0.2">
      <c r="A337" s="85"/>
      <c r="B337" s="33"/>
      <c r="C337" s="34"/>
      <c r="D337" s="34"/>
      <c r="E337" s="35"/>
    </row>
    <row r="338" spans="1:5" x14ac:dyDescent="0.2">
      <c r="A338" s="85"/>
      <c r="B338" s="33"/>
      <c r="C338" s="34"/>
      <c r="D338" s="34"/>
      <c r="E338" s="35"/>
    </row>
    <row r="339" spans="1:5" x14ac:dyDescent="0.2">
      <c r="A339" s="85"/>
      <c r="B339" s="33"/>
      <c r="C339" s="34"/>
      <c r="D339" s="34"/>
      <c r="E339" s="35"/>
    </row>
    <row r="340" spans="1:5" x14ac:dyDescent="0.2">
      <c r="A340" s="85"/>
      <c r="B340" s="33" t="s">
        <v>151</v>
      </c>
      <c r="C340" s="34"/>
      <c r="D340" s="34"/>
      <c r="E340" s="35"/>
    </row>
    <row r="341" spans="1:5" x14ac:dyDescent="0.2">
      <c r="A341" s="85"/>
      <c r="B341" s="33"/>
      <c r="C341" s="34"/>
      <c r="D341" s="34"/>
      <c r="E341" s="35"/>
    </row>
    <row r="342" spans="1:5" x14ac:dyDescent="0.2">
      <c r="A342" s="85"/>
      <c r="B342" s="33"/>
      <c r="C342" s="34"/>
      <c r="D342" s="34"/>
      <c r="E342" s="35"/>
    </row>
    <row r="343" spans="1:5" x14ac:dyDescent="0.2">
      <c r="A343" s="85"/>
      <c r="B343" s="33"/>
      <c r="C343" s="34"/>
      <c r="D343" s="34"/>
      <c r="E343" s="35"/>
    </row>
    <row r="344" spans="1:5" x14ac:dyDescent="0.2">
      <c r="A344" s="85"/>
      <c r="B344" s="33"/>
      <c r="C344" s="34"/>
      <c r="D344" s="34"/>
      <c r="E344" s="35"/>
    </row>
    <row r="345" spans="1:5" x14ac:dyDescent="0.2">
      <c r="A345" s="85"/>
      <c r="B345" s="33"/>
      <c r="C345" s="34"/>
      <c r="D345" s="34"/>
      <c r="E345" s="35"/>
    </row>
    <row r="346" spans="1:5" x14ac:dyDescent="0.2">
      <c r="A346" s="85"/>
      <c r="B346" s="33"/>
      <c r="C346" s="34"/>
      <c r="D346" s="34"/>
      <c r="E346" s="35"/>
    </row>
    <row r="347" spans="1:5" x14ac:dyDescent="0.2">
      <c r="A347" s="85"/>
      <c r="B347" s="33"/>
      <c r="C347" s="34"/>
      <c r="D347" s="34"/>
      <c r="E347" s="35"/>
    </row>
    <row r="348" spans="1:5" x14ac:dyDescent="0.2">
      <c r="A348" s="85"/>
      <c r="B348" s="33"/>
      <c r="C348" s="34"/>
      <c r="D348" s="34"/>
      <c r="E348" s="35"/>
    </row>
    <row r="349" spans="1:5" x14ac:dyDescent="0.2">
      <c r="A349" s="85"/>
      <c r="B349" s="33"/>
      <c r="C349" s="34"/>
      <c r="D349" s="34"/>
      <c r="E349" s="35"/>
    </row>
    <row r="350" spans="1:5" x14ac:dyDescent="0.2">
      <c r="A350" s="85"/>
      <c r="B350" s="33"/>
      <c r="C350" s="34"/>
      <c r="D350" s="34"/>
      <c r="E350" s="35"/>
    </row>
    <row r="351" spans="1:5" x14ac:dyDescent="0.2">
      <c r="A351" s="85"/>
      <c r="B351" s="33"/>
      <c r="C351" s="34"/>
      <c r="D351" s="34"/>
      <c r="E351" s="35"/>
    </row>
    <row r="352" spans="1:5" x14ac:dyDescent="0.2">
      <c r="A352" s="85"/>
      <c r="B352" s="67"/>
      <c r="C352" s="65"/>
      <c r="D352" s="65"/>
      <c r="E352" s="66"/>
    </row>
    <row r="353" spans="1:5" x14ac:dyDescent="0.2">
      <c r="A353" s="85"/>
      <c r="B353" s="59"/>
      <c r="C353" s="60"/>
      <c r="D353" s="60"/>
      <c r="E353" s="60"/>
    </row>
    <row r="354" spans="1:5" x14ac:dyDescent="0.2">
      <c r="A354" s="85"/>
      <c r="B354" s="59"/>
      <c r="C354" s="60"/>
      <c r="D354" s="60"/>
      <c r="E354" s="60"/>
    </row>
    <row r="355" spans="1:5" x14ac:dyDescent="0.2">
      <c r="A355" s="85"/>
      <c r="B355" s="59"/>
      <c r="C355" s="60"/>
      <c r="D355" s="60"/>
      <c r="E355" s="60"/>
    </row>
    <row r="356" spans="1:5" x14ac:dyDescent="0.2">
      <c r="A356" s="85"/>
      <c r="B356" s="59"/>
      <c r="C356" s="60"/>
      <c r="D356" s="60"/>
      <c r="E356" s="60"/>
    </row>
    <row r="357" spans="1:5" x14ac:dyDescent="0.2">
      <c r="A357" s="85"/>
      <c r="B357" s="59"/>
      <c r="C357" s="60"/>
      <c r="D357" s="60"/>
      <c r="E357" s="60"/>
    </row>
    <row r="358" spans="1:5" x14ac:dyDescent="0.2">
      <c r="A358" s="85"/>
      <c r="B358" s="59"/>
      <c r="C358" s="60"/>
      <c r="D358" s="60"/>
      <c r="E358" s="60"/>
    </row>
    <row r="359" spans="1:5" x14ac:dyDescent="0.2">
      <c r="A359" s="85"/>
      <c r="B359" s="59"/>
      <c r="C359" s="60"/>
      <c r="D359" s="60"/>
      <c r="E359" s="60"/>
    </row>
    <row r="360" spans="1:5" x14ac:dyDescent="0.2">
      <c r="A360" s="85"/>
      <c r="B360" s="59"/>
      <c r="C360" s="60"/>
      <c r="D360" s="60"/>
      <c r="E360" s="60"/>
    </row>
    <row r="361" spans="1:5" x14ac:dyDescent="0.2">
      <c r="A361" s="85"/>
      <c r="B361" s="59"/>
      <c r="C361" s="60"/>
      <c r="D361" s="60"/>
      <c r="E361" s="60"/>
    </row>
    <row r="362" spans="1:5" x14ac:dyDescent="0.2">
      <c r="A362" s="85"/>
      <c r="B362" s="59"/>
      <c r="C362" s="60"/>
      <c r="D362" s="60"/>
      <c r="E362" s="60"/>
    </row>
    <row r="363" spans="1:5" x14ac:dyDescent="0.2">
      <c r="A363" s="85"/>
      <c r="B363" s="59"/>
      <c r="C363" s="60"/>
      <c r="D363" s="60"/>
      <c r="E363" s="60"/>
    </row>
    <row r="364" spans="1:5" x14ac:dyDescent="0.2">
      <c r="A364" s="85"/>
      <c r="B364" s="59"/>
      <c r="C364" s="60"/>
      <c r="D364" s="60"/>
      <c r="E364" s="60"/>
    </row>
    <row r="365" spans="1:5" x14ac:dyDescent="0.2">
      <c r="A365" s="85"/>
      <c r="B365" s="59"/>
      <c r="C365" s="60"/>
      <c r="D365" s="60"/>
      <c r="E365" s="60"/>
    </row>
    <row r="366" spans="1:5" x14ac:dyDescent="0.2">
      <c r="A366" s="85"/>
      <c r="B366" s="59"/>
      <c r="C366" s="60"/>
      <c r="D366" s="60"/>
      <c r="E366" s="60"/>
    </row>
    <row r="367" spans="1:5" x14ac:dyDescent="0.2">
      <c r="A367" s="85"/>
      <c r="B367" s="59"/>
      <c r="C367" s="60"/>
      <c r="D367" s="60"/>
      <c r="E367" s="60"/>
    </row>
    <row r="368" spans="1:5" x14ac:dyDescent="0.2">
      <c r="A368" s="85"/>
      <c r="B368" s="59"/>
      <c r="C368" s="60"/>
      <c r="D368" s="60"/>
      <c r="E368" s="60"/>
    </row>
    <row r="369" spans="1:5" x14ac:dyDescent="0.2">
      <c r="A369" s="85"/>
      <c r="B369" s="59"/>
      <c r="C369" s="60"/>
      <c r="D369" s="60"/>
      <c r="E369" s="60"/>
    </row>
    <row r="370" spans="1:5" x14ac:dyDescent="0.2">
      <c r="A370" s="85"/>
      <c r="B370" s="61"/>
      <c r="C370" s="60"/>
      <c r="D370" s="60"/>
      <c r="E370" s="60"/>
    </row>
    <row r="371" spans="1:5" x14ac:dyDescent="0.2">
      <c r="A371" s="85"/>
      <c r="B371" s="61"/>
      <c r="C371" s="60"/>
      <c r="D371" s="60"/>
      <c r="E371" s="60"/>
    </row>
    <row r="372" spans="1:5" x14ac:dyDescent="0.2">
      <c r="A372" s="85"/>
      <c r="B372" s="61"/>
      <c r="C372" s="60"/>
      <c r="D372" s="60"/>
      <c r="E372" s="60"/>
    </row>
    <row r="373" spans="1:5" x14ac:dyDescent="0.2">
      <c r="A373" s="85"/>
      <c r="B373" s="61"/>
      <c r="C373" s="60"/>
      <c r="D373" s="60"/>
      <c r="E373" s="60"/>
    </row>
    <row r="374" spans="1:5" x14ac:dyDescent="0.2">
      <c r="A374" s="85"/>
      <c r="B374" s="61"/>
      <c r="C374" s="60"/>
      <c r="D374" s="60"/>
      <c r="E374" s="60"/>
    </row>
    <row r="375" spans="1:5" x14ac:dyDescent="0.2">
      <c r="A375" s="85"/>
      <c r="B375" s="61"/>
      <c r="C375" s="60"/>
      <c r="D375" s="60"/>
      <c r="E375" s="60"/>
    </row>
    <row r="376" spans="1:5" x14ac:dyDescent="0.2">
      <c r="A376" s="85"/>
      <c r="B376" s="62"/>
      <c r="C376" s="60"/>
      <c r="D376" s="60"/>
      <c r="E376" s="60"/>
    </row>
    <row r="377" spans="1:5" x14ac:dyDescent="0.2">
      <c r="A377" s="85"/>
      <c r="B377" s="62"/>
      <c r="C377" s="60"/>
      <c r="D377" s="60"/>
      <c r="E377" s="60"/>
    </row>
    <row r="378" spans="1:5" x14ac:dyDescent="0.2">
      <c r="A378" s="85"/>
      <c r="B378" s="62"/>
      <c r="C378" s="60"/>
      <c r="D378" s="60"/>
      <c r="E378" s="60"/>
    </row>
    <row r="379" spans="1:5" x14ac:dyDescent="0.2">
      <c r="A379" s="85"/>
      <c r="B379" s="62"/>
      <c r="C379" s="60"/>
      <c r="D379" s="60"/>
      <c r="E379" s="60"/>
    </row>
    <row r="380" spans="1:5" x14ac:dyDescent="0.2">
      <c r="A380" s="85"/>
      <c r="B380" s="62"/>
      <c r="C380" s="60"/>
      <c r="D380" s="60"/>
      <c r="E380" s="60"/>
    </row>
    <row r="381" spans="1:5" x14ac:dyDescent="0.2">
      <c r="A381" s="85"/>
      <c r="B381" s="62"/>
      <c r="C381" s="60"/>
      <c r="D381" s="60"/>
      <c r="E381" s="60"/>
    </row>
    <row r="382" spans="1:5" x14ac:dyDescent="0.2">
      <c r="A382" s="85"/>
      <c r="B382" s="62"/>
      <c r="C382" s="60"/>
      <c r="D382" s="60"/>
      <c r="E382" s="60"/>
    </row>
    <row r="383" spans="1:5" x14ac:dyDescent="0.2">
      <c r="A383" s="85"/>
      <c r="B383" s="62"/>
      <c r="C383" s="60"/>
      <c r="D383" s="60"/>
      <c r="E383" s="60"/>
    </row>
    <row r="384" spans="1:5" x14ac:dyDescent="0.2">
      <c r="A384" s="85"/>
      <c r="B384" s="62"/>
      <c r="C384" s="60"/>
      <c r="D384" s="60"/>
      <c r="E384" s="60"/>
    </row>
    <row r="385" spans="1:5" x14ac:dyDescent="0.2">
      <c r="A385" s="85"/>
      <c r="B385" s="62"/>
      <c r="C385" s="60"/>
      <c r="D385" s="60"/>
      <c r="E385" s="60"/>
    </row>
    <row r="386" spans="1:5" x14ac:dyDescent="0.2">
      <c r="A386" s="85"/>
      <c r="B386" s="62"/>
      <c r="C386" s="60"/>
      <c r="D386" s="60"/>
      <c r="E386" s="60"/>
    </row>
    <row r="387" spans="1:5" x14ac:dyDescent="0.2">
      <c r="A387" s="85"/>
      <c r="B387" s="62"/>
      <c r="C387" s="60"/>
      <c r="D387" s="60"/>
      <c r="E387" s="60"/>
    </row>
    <row r="388" spans="1:5" x14ac:dyDescent="0.2">
      <c r="A388" s="85"/>
      <c r="B388" s="62"/>
      <c r="C388" s="60"/>
      <c r="D388" s="60"/>
      <c r="E388" s="60"/>
    </row>
    <row r="389" spans="1:5" x14ac:dyDescent="0.2">
      <c r="A389" s="85"/>
      <c r="B389" s="62"/>
      <c r="C389" s="60"/>
      <c r="D389" s="60"/>
      <c r="E389" s="60"/>
    </row>
    <row r="390" spans="1:5" x14ac:dyDescent="0.2">
      <c r="A390" s="85"/>
      <c r="B390" s="62"/>
      <c r="C390" s="60"/>
      <c r="D390" s="60"/>
      <c r="E390" s="60"/>
    </row>
    <row r="391" spans="1:5" x14ac:dyDescent="0.2">
      <c r="A391" s="85"/>
      <c r="B391" s="62"/>
      <c r="C391" s="60"/>
      <c r="D391" s="60"/>
      <c r="E391" s="60"/>
    </row>
    <row r="392" spans="1:5" x14ac:dyDescent="0.2">
      <c r="A392" s="85"/>
      <c r="B392" s="62"/>
      <c r="C392" s="60"/>
      <c r="D392" s="60"/>
      <c r="E392" s="60"/>
    </row>
    <row r="393" spans="1:5" x14ac:dyDescent="0.2">
      <c r="A393" s="85"/>
      <c r="B393" s="62"/>
      <c r="C393" s="60"/>
      <c r="D393" s="60"/>
      <c r="E393" s="60"/>
    </row>
    <row r="394" spans="1:5" x14ac:dyDescent="0.2">
      <c r="A394" s="85"/>
      <c r="B394" s="62"/>
      <c r="C394" s="60"/>
      <c r="D394" s="60"/>
      <c r="E394" s="60"/>
    </row>
    <row r="395" spans="1:5" x14ac:dyDescent="0.2">
      <c r="A395" s="85"/>
      <c r="B395" s="62"/>
      <c r="C395" s="60"/>
      <c r="D395" s="60"/>
      <c r="E395" s="60"/>
    </row>
    <row r="396" spans="1:5" x14ac:dyDescent="0.2">
      <c r="A396" s="85"/>
      <c r="B396" s="62"/>
      <c r="C396" s="60"/>
      <c r="D396" s="60"/>
      <c r="E396" s="60"/>
    </row>
    <row r="397" spans="1:5" x14ac:dyDescent="0.2">
      <c r="A397" s="85"/>
      <c r="B397" s="63"/>
      <c r="C397" s="60"/>
      <c r="D397" s="60"/>
      <c r="E397" s="60"/>
    </row>
    <row r="398" spans="1:5" x14ac:dyDescent="0.2">
      <c r="A398" s="85"/>
      <c r="B398" s="63"/>
      <c r="C398" s="60"/>
      <c r="D398" s="60"/>
      <c r="E398" s="60"/>
    </row>
    <row r="399" spans="1:5" x14ac:dyDescent="0.2">
      <c r="A399" s="85"/>
      <c r="B399" s="62"/>
      <c r="C399" s="60"/>
      <c r="D399" s="60"/>
      <c r="E399" s="60"/>
    </row>
    <row r="400" spans="1:5" x14ac:dyDescent="0.2">
      <c r="A400" s="85"/>
      <c r="B400" s="62"/>
      <c r="C400" s="60"/>
      <c r="D400" s="60"/>
      <c r="E400" s="60"/>
    </row>
    <row r="401" spans="1:5" x14ac:dyDescent="0.2">
      <c r="A401" s="85"/>
      <c r="B401" s="62"/>
      <c r="C401" s="60"/>
      <c r="D401" s="60"/>
      <c r="E401" s="60"/>
    </row>
    <row r="402" spans="1:5" x14ac:dyDescent="0.2">
      <c r="A402" s="85"/>
      <c r="B402" s="62"/>
      <c r="C402" s="60"/>
      <c r="D402" s="60"/>
      <c r="E402" s="60"/>
    </row>
    <row r="403" spans="1:5" x14ac:dyDescent="0.2">
      <c r="A403" s="85"/>
      <c r="B403" s="62"/>
      <c r="C403" s="60"/>
      <c r="D403" s="60"/>
      <c r="E403" s="60"/>
    </row>
    <row r="404" spans="1:5" x14ac:dyDescent="0.2">
      <c r="A404" s="85"/>
      <c r="B404" s="62"/>
      <c r="C404" s="60"/>
      <c r="D404" s="60"/>
      <c r="E404" s="60"/>
    </row>
    <row r="405" spans="1:5" x14ac:dyDescent="0.2">
      <c r="A405" s="85"/>
      <c r="B405" s="62"/>
      <c r="C405" s="60"/>
      <c r="D405" s="60"/>
      <c r="E405" s="60"/>
    </row>
    <row r="406" spans="1:5" x14ac:dyDescent="0.2">
      <c r="A406" s="85"/>
      <c r="B406" s="62"/>
      <c r="C406" s="60"/>
      <c r="D406" s="60"/>
      <c r="E406" s="60"/>
    </row>
    <row r="407" spans="1:5" x14ac:dyDescent="0.2">
      <c r="A407" s="85"/>
      <c r="B407" s="62"/>
      <c r="C407" s="60"/>
      <c r="D407" s="60"/>
      <c r="E407" s="60"/>
    </row>
    <row r="408" spans="1:5" x14ac:dyDescent="0.2">
      <c r="A408" s="85"/>
      <c r="B408" s="62"/>
      <c r="C408" s="60"/>
      <c r="D408" s="60"/>
      <c r="E408" s="60"/>
    </row>
    <row r="409" spans="1:5" x14ac:dyDescent="0.2">
      <c r="A409" s="85"/>
      <c r="B409" s="62"/>
      <c r="C409" s="60"/>
      <c r="D409" s="60"/>
      <c r="E409" s="60"/>
    </row>
    <row r="410" spans="1:5" x14ac:dyDescent="0.2">
      <c r="A410" s="85"/>
      <c r="B410" s="62"/>
      <c r="C410" s="60"/>
      <c r="D410" s="60"/>
      <c r="E410" s="60"/>
    </row>
    <row r="411" spans="1:5" x14ac:dyDescent="0.2">
      <c r="A411" s="85"/>
      <c r="B411" s="62"/>
      <c r="C411" s="60"/>
      <c r="D411" s="60"/>
      <c r="E411" s="60"/>
    </row>
    <row r="412" spans="1:5" x14ac:dyDescent="0.2">
      <c r="A412" s="85"/>
      <c r="B412" s="62"/>
      <c r="C412" s="60"/>
      <c r="D412" s="60"/>
      <c r="E412" s="60"/>
    </row>
    <row r="413" spans="1:5" x14ac:dyDescent="0.2">
      <c r="A413" s="85"/>
      <c r="B413" s="62"/>
      <c r="C413" s="60"/>
      <c r="D413" s="60"/>
      <c r="E413" s="60"/>
    </row>
    <row r="414" spans="1:5" x14ac:dyDescent="0.2">
      <c r="A414" s="85"/>
      <c r="B414" s="62"/>
      <c r="C414" s="60"/>
      <c r="D414" s="60"/>
      <c r="E414" s="60"/>
    </row>
    <row r="415" spans="1:5" x14ac:dyDescent="0.2">
      <c r="A415" s="85"/>
      <c r="B415" s="62"/>
      <c r="C415" s="60"/>
      <c r="D415" s="60"/>
      <c r="E415" s="60"/>
    </row>
    <row r="416" spans="1:5" x14ac:dyDescent="0.2">
      <c r="A416" s="85"/>
      <c r="B416" s="62"/>
      <c r="C416" s="60"/>
      <c r="D416" s="60"/>
      <c r="E416" s="60"/>
    </row>
    <row r="417" spans="1:5" x14ac:dyDescent="0.2">
      <c r="A417" s="85"/>
      <c r="B417" s="62"/>
      <c r="C417" s="60"/>
      <c r="D417" s="60"/>
      <c r="E417" s="60"/>
    </row>
    <row r="418" spans="1:5" x14ac:dyDescent="0.2">
      <c r="A418" s="85"/>
      <c r="B418" s="62"/>
      <c r="C418" s="60"/>
      <c r="D418" s="60"/>
      <c r="E418" s="60"/>
    </row>
    <row r="419" spans="1:5" x14ac:dyDescent="0.2">
      <c r="A419" s="85"/>
      <c r="B419" s="62"/>
      <c r="C419" s="60"/>
      <c r="D419" s="60"/>
      <c r="E419" s="60"/>
    </row>
    <row r="420" spans="1:5" x14ac:dyDescent="0.2">
      <c r="A420" s="85"/>
      <c r="B420" s="62"/>
      <c r="C420" s="60"/>
      <c r="D420" s="60"/>
      <c r="E420" s="60"/>
    </row>
    <row r="421" spans="1:5" x14ac:dyDescent="0.2">
      <c r="A421" s="85"/>
      <c r="B421" s="62"/>
      <c r="C421" s="60"/>
      <c r="D421" s="60"/>
      <c r="E421" s="60"/>
    </row>
    <row r="422" spans="1:5" x14ac:dyDescent="0.2">
      <c r="A422" s="85"/>
      <c r="B422" s="63"/>
      <c r="C422" s="60"/>
      <c r="D422" s="60"/>
      <c r="E422" s="60"/>
    </row>
    <row r="423" spans="1:5" x14ac:dyDescent="0.2">
      <c r="A423" s="85"/>
      <c r="B423" s="63"/>
      <c r="C423" s="60"/>
      <c r="D423" s="60"/>
      <c r="E423" s="60"/>
    </row>
    <row r="424" spans="1:5" x14ac:dyDescent="0.2">
      <c r="A424" s="85"/>
      <c r="B424" s="62"/>
      <c r="C424" s="60"/>
      <c r="D424" s="60"/>
      <c r="E424" s="60"/>
    </row>
    <row r="425" spans="1:5" x14ac:dyDescent="0.2">
      <c r="A425" s="85"/>
      <c r="B425" s="62"/>
      <c r="C425" s="60"/>
      <c r="D425" s="60"/>
      <c r="E425" s="60"/>
    </row>
    <row r="426" spans="1:5" x14ac:dyDescent="0.2">
      <c r="A426" s="85"/>
      <c r="B426" s="62"/>
      <c r="C426" s="60"/>
      <c r="D426" s="60"/>
      <c r="E426" s="60"/>
    </row>
    <row r="427" spans="1:5" x14ac:dyDescent="0.2">
      <c r="A427" s="85"/>
      <c r="B427" s="62"/>
      <c r="C427" s="60"/>
      <c r="D427" s="60"/>
      <c r="E427" s="60"/>
    </row>
    <row r="428" spans="1:5" x14ac:dyDescent="0.2">
      <c r="A428" s="85"/>
      <c r="B428" s="62"/>
      <c r="C428" s="60"/>
      <c r="D428" s="60"/>
      <c r="E428" s="60"/>
    </row>
    <row r="429" spans="1:5" x14ac:dyDescent="0.2">
      <c r="A429" s="85"/>
      <c r="B429" s="62"/>
      <c r="C429" s="60"/>
      <c r="D429" s="60"/>
      <c r="E429" s="60"/>
    </row>
    <row r="430" spans="1:5" x14ac:dyDescent="0.2">
      <c r="A430" s="85"/>
      <c r="B430" s="62"/>
      <c r="C430" s="64"/>
      <c r="D430" s="64"/>
      <c r="E430" s="64"/>
    </row>
    <row r="431" spans="1:5" x14ac:dyDescent="0.2">
      <c r="A431" s="85"/>
      <c r="B431" s="62"/>
      <c r="C431" s="64"/>
      <c r="D431" s="64"/>
      <c r="E431" s="64"/>
    </row>
    <row r="432" spans="1:5" x14ac:dyDescent="0.2">
      <c r="A432" s="85"/>
      <c r="B432" s="62"/>
      <c r="C432" s="64"/>
      <c r="D432" s="64"/>
      <c r="E432" s="64"/>
    </row>
    <row r="433" spans="1:5" x14ac:dyDescent="0.2">
      <c r="A433" s="85"/>
      <c r="B433" s="62"/>
      <c r="C433" s="64"/>
      <c r="D433" s="64"/>
      <c r="E433" s="64"/>
    </row>
    <row r="434" spans="1:5" x14ac:dyDescent="0.2">
      <c r="A434" s="85"/>
      <c r="B434" s="62"/>
      <c r="C434" s="64"/>
      <c r="D434" s="64"/>
      <c r="E434" s="64"/>
    </row>
    <row r="435" spans="1:5" x14ac:dyDescent="0.2">
      <c r="A435" s="85"/>
      <c r="B435" s="62"/>
      <c r="C435" s="64"/>
      <c r="D435" s="64"/>
      <c r="E435" s="64"/>
    </row>
    <row r="436" spans="1:5" x14ac:dyDescent="0.2">
      <c r="A436" s="85"/>
      <c r="B436" s="62"/>
      <c r="C436" s="64"/>
      <c r="D436" s="64"/>
      <c r="E436" s="64"/>
    </row>
    <row r="437" spans="1:5" x14ac:dyDescent="0.2">
      <c r="A437" s="85"/>
      <c r="B437" s="62"/>
      <c r="C437" s="64"/>
      <c r="D437" s="64"/>
      <c r="E437" s="64"/>
    </row>
    <row r="438" spans="1:5" x14ac:dyDescent="0.2">
      <c r="A438" s="85"/>
      <c r="B438" s="62"/>
      <c r="C438" s="64"/>
      <c r="D438" s="64"/>
      <c r="E438" s="64"/>
    </row>
    <row r="439" spans="1:5" x14ac:dyDescent="0.2">
      <c r="A439" s="85"/>
      <c r="B439" s="62"/>
      <c r="C439" s="64"/>
      <c r="D439" s="64"/>
      <c r="E439" s="64"/>
    </row>
    <row r="440" spans="1:5" x14ac:dyDescent="0.2">
      <c r="A440" s="85"/>
      <c r="B440" s="62"/>
      <c r="C440" s="64"/>
      <c r="D440" s="64"/>
      <c r="E440" s="64"/>
    </row>
    <row r="441" spans="1:5" x14ac:dyDescent="0.2">
      <c r="A441" s="85"/>
      <c r="B441" s="62"/>
      <c r="C441" s="64"/>
      <c r="D441" s="64"/>
      <c r="E441" s="64"/>
    </row>
    <row r="442" spans="1:5" x14ac:dyDescent="0.2">
      <c r="A442" s="85"/>
      <c r="B442" s="62"/>
      <c r="C442" s="64"/>
      <c r="D442" s="64"/>
      <c r="E442" s="64"/>
    </row>
    <row r="443" spans="1:5" x14ac:dyDescent="0.2">
      <c r="A443" s="85"/>
      <c r="B443" s="62"/>
      <c r="C443" s="64"/>
      <c r="D443" s="64"/>
      <c r="E443" s="64"/>
    </row>
    <row r="444" spans="1:5" x14ac:dyDescent="0.2">
      <c r="A444" s="85"/>
      <c r="B444" s="62"/>
      <c r="C444" s="64"/>
      <c r="D444" s="64"/>
      <c r="E444" s="64"/>
    </row>
    <row r="445" spans="1:5" x14ac:dyDescent="0.2">
      <c r="A445" s="85"/>
      <c r="B445" s="62"/>
      <c r="C445" s="64"/>
      <c r="D445" s="64"/>
      <c r="E445" s="64"/>
    </row>
    <row r="446" spans="1:5" x14ac:dyDescent="0.2">
      <c r="A446" s="85"/>
      <c r="B446" s="62"/>
      <c r="C446" s="64"/>
      <c r="D446" s="64"/>
      <c r="E446" s="64"/>
    </row>
    <row r="447" spans="1:5" x14ac:dyDescent="0.2">
      <c r="A447" s="85"/>
      <c r="B447" s="62"/>
      <c r="C447" s="64"/>
      <c r="D447" s="64"/>
      <c r="E447" s="64"/>
    </row>
    <row r="448" spans="1:5" x14ac:dyDescent="0.2">
      <c r="A448" s="85"/>
      <c r="B448" s="62"/>
      <c r="C448" s="64"/>
      <c r="D448" s="64"/>
      <c r="E448" s="64"/>
    </row>
    <row r="449" spans="1:5" x14ac:dyDescent="0.2">
      <c r="A449" s="85"/>
      <c r="B449" s="62"/>
      <c r="C449" s="64"/>
      <c r="D449" s="64"/>
      <c r="E449" s="64"/>
    </row>
    <row r="450" spans="1:5" x14ac:dyDescent="0.2">
      <c r="A450" s="85"/>
      <c r="B450" s="62"/>
      <c r="C450" s="64"/>
      <c r="D450" s="64"/>
      <c r="E450" s="64"/>
    </row>
    <row r="451" spans="1:5" x14ac:dyDescent="0.2">
      <c r="A451" s="85"/>
      <c r="B451" s="62"/>
      <c r="C451" s="64"/>
      <c r="D451" s="64"/>
      <c r="E451" s="64"/>
    </row>
    <row r="452" spans="1:5" x14ac:dyDescent="0.2">
      <c r="A452" s="85"/>
      <c r="B452" s="62"/>
      <c r="C452" s="64"/>
      <c r="D452" s="64"/>
      <c r="E452" s="64"/>
    </row>
    <row r="453" spans="1:5" x14ac:dyDescent="0.2">
      <c r="A453" s="85"/>
      <c r="B453" s="62"/>
      <c r="C453" s="64"/>
      <c r="D453" s="64"/>
      <c r="E453" s="64"/>
    </row>
    <row r="454" spans="1:5" x14ac:dyDescent="0.2">
      <c r="A454" s="85"/>
      <c r="B454" s="62"/>
      <c r="C454" s="64"/>
      <c r="D454" s="64"/>
      <c r="E454" s="64"/>
    </row>
    <row r="455" spans="1:5" x14ac:dyDescent="0.2">
      <c r="A455" s="85"/>
      <c r="B455" s="62"/>
      <c r="C455" s="64"/>
      <c r="D455" s="64"/>
      <c r="E455" s="64"/>
    </row>
    <row r="456" spans="1:5" x14ac:dyDescent="0.2">
      <c r="A456" s="85"/>
      <c r="B456" s="62"/>
      <c r="C456" s="64"/>
      <c r="D456" s="64"/>
      <c r="E456" s="64"/>
    </row>
    <row r="457" spans="1:5" x14ac:dyDescent="0.2">
      <c r="A457" s="85"/>
      <c r="B457" s="62"/>
      <c r="C457" s="64"/>
      <c r="D457" s="64"/>
      <c r="E457" s="64"/>
    </row>
    <row r="458" spans="1:5" x14ac:dyDescent="0.2">
      <c r="A458" s="85"/>
      <c r="B458" s="62"/>
      <c r="C458" s="64"/>
      <c r="D458" s="64"/>
      <c r="E458" s="64"/>
    </row>
    <row r="459" spans="1:5" x14ac:dyDescent="0.2">
      <c r="A459" s="85"/>
      <c r="B459" s="62"/>
      <c r="C459" s="64"/>
      <c r="D459" s="64"/>
      <c r="E459" s="64"/>
    </row>
    <row r="460" spans="1:5" x14ac:dyDescent="0.2">
      <c r="A460" s="85"/>
      <c r="B460" s="62"/>
      <c r="C460" s="64"/>
      <c r="D460" s="64"/>
      <c r="E460" s="64"/>
    </row>
    <row r="461" spans="1:5" x14ac:dyDescent="0.2">
      <c r="A461" s="85"/>
      <c r="B461" s="62"/>
      <c r="C461" s="64"/>
      <c r="D461" s="64"/>
      <c r="E461" s="64"/>
    </row>
    <row r="462" spans="1:5" x14ac:dyDescent="0.2">
      <c r="A462" s="85"/>
      <c r="B462" s="62"/>
      <c r="C462" s="64"/>
      <c r="D462" s="64"/>
      <c r="E462" s="64"/>
    </row>
    <row r="463" spans="1:5" x14ac:dyDescent="0.2">
      <c r="A463" s="85"/>
      <c r="B463" s="62"/>
      <c r="C463" s="64"/>
      <c r="D463" s="64"/>
      <c r="E463" s="64"/>
    </row>
    <row r="464" spans="1:5" x14ac:dyDescent="0.2">
      <c r="A464" s="85"/>
      <c r="B464" s="62"/>
      <c r="C464" s="64"/>
      <c r="D464" s="64"/>
      <c r="E464" s="64"/>
    </row>
    <row r="465" spans="1:5" x14ac:dyDescent="0.2">
      <c r="A465" s="85"/>
      <c r="B465" s="62"/>
      <c r="C465" s="64"/>
      <c r="D465" s="64"/>
      <c r="E465" s="64"/>
    </row>
    <row r="466" spans="1:5" x14ac:dyDescent="0.2">
      <c r="A466" s="85"/>
      <c r="B466" s="62"/>
      <c r="C466" s="64"/>
      <c r="D466" s="64"/>
      <c r="E466" s="64"/>
    </row>
    <row r="467" spans="1:5" x14ac:dyDescent="0.2">
      <c r="A467" s="85"/>
      <c r="B467" s="62"/>
      <c r="C467" s="64"/>
      <c r="D467" s="64"/>
      <c r="E467" s="64"/>
    </row>
    <row r="468" spans="1:5" x14ac:dyDescent="0.2">
      <c r="A468" s="85"/>
      <c r="B468" s="62"/>
      <c r="C468" s="64"/>
      <c r="D468" s="64"/>
      <c r="E468" s="64"/>
    </row>
    <row r="469" spans="1:5" x14ac:dyDescent="0.2">
      <c r="A469" s="85"/>
      <c r="B469" s="62"/>
      <c r="C469" s="64"/>
      <c r="D469" s="64"/>
      <c r="E469" s="64"/>
    </row>
    <row r="470" spans="1:5" x14ac:dyDescent="0.2">
      <c r="A470" s="85"/>
      <c r="B470" s="62"/>
      <c r="C470" s="64"/>
      <c r="D470" s="64"/>
      <c r="E470" s="64"/>
    </row>
    <row r="471" spans="1:5" x14ac:dyDescent="0.2">
      <c r="A471" s="85"/>
      <c r="B471" s="62"/>
      <c r="C471" s="64"/>
      <c r="D471" s="64"/>
      <c r="E471" s="64"/>
    </row>
    <row r="472" spans="1:5" x14ac:dyDescent="0.2">
      <c r="A472" s="85"/>
      <c r="B472" s="62"/>
      <c r="C472" s="64"/>
      <c r="D472" s="64"/>
      <c r="E472" s="64"/>
    </row>
    <row r="473" spans="1:5" x14ac:dyDescent="0.2">
      <c r="A473" s="85"/>
      <c r="B473" s="62"/>
      <c r="C473" s="64"/>
      <c r="D473" s="64"/>
      <c r="E473" s="64"/>
    </row>
    <row r="474" spans="1:5" x14ac:dyDescent="0.2">
      <c r="A474" s="85"/>
      <c r="B474" s="62"/>
      <c r="C474" s="64"/>
      <c r="D474" s="64"/>
      <c r="E474" s="64"/>
    </row>
    <row r="475" spans="1:5" x14ac:dyDescent="0.2">
      <c r="A475" s="85"/>
      <c r="B475" s="62"/>
      <c r="C475" s="64"/>
      <c r="D475" s="64"/>
      <c r="E475" s="64"/>
    </row>
    <row r="476" spans="1:5" x14ac:dyDescent="0.2">
      <c r="A476" s="85"/>
      <c r="B476" s="62"/>
      <c r="C476" s="64"/>
      <c r="D476" s="64"/>
      <c r="E476" s="64"/>
    </row>
    <row r="477" spans="1:5" x14ac:dyDescent="0.2">
      <c r="A477" s="85"/>
      <c r="B477" s="62"/>
      <c r="C477" s="64"/>
      <c r="D477" s="64"/>
      <c r="E477" s="64"/>
    </row>
    <row r="478" spans="1:5" x14ac:dyDescent="0.2">
      <c r="A478" s="85"/>
      <c r="B478" s="62"/>
      <c r="C478" s="64"/>
      <c r="D478" s="64"/>
      <c r="E478" s="64"/>
    </row>
    <row r="479" spans="1:5" x14ac:dyDescent="0.2">
      <c r="A479" s="85"/>
      <c r="B479" s="62"/>
      <c r="C479" s="64"/>
      <c r="D479" s="64"/>
      <c r="E479" s="64"/>
    </row>
    <row r="480" spans="1:5" x14ac:dyDescent="0.2">
      <c r="A480" s="85"/>
      <c r="B480" s="62"/>
      <c r="C480" s="64"/>
      <c r="D480" s="64"/>
      <c r="E480" s="64"/>
    </row>
    <row r="481" spans="1:5" x14ac:dyDescent="0.2">
      <c r="A481" s="85"/>
      <c r="B481" s="62"/>
      <c r="C481" s="64"/>
      <c r="D481" s="64"/>
      <c r="E481" s="64"/>
    </row>
    <row r="482" spans="1:5" x14ac:dyDescent="0.2">
      <c r="A482" s="85"/>
      <c r="B482" s="62"/>
      <c r="C482" s="64"/>
      <c r="D482" s="64"/>
      <c r="E482" s="64"/>
    </row>
    <row r="483" spans="1:5" x14ac:dyDescent="0.2">
      <c r="A483" s="85"/>
      <c r="B483" s="62"/>
      <c r="C483" s="64"/>
      <c r="D483" s="64"/>
      <c r="E483" s="64"/>
    </row>
    <row r="484" spans="1:5" x14ac:dyDescent="0.2">
      <c r="A484" s="85"/>
      <c r="B484" s="62"/>
      <c r="C484" s="64"/>
      <c r="D484" s="64"/>
      <c r="E484" s="64"/>
    </row>
    <row r="485" spans="1:5" x14ac:dyDescent="0.2">
      <c r="A485" s="85"/>
      <c r="B485" s="62"/>
      <c r="C485" s="64"/>
      <c r="D485" s="64"/>
      <c r="E485" s="64"/>
    </row>
    <row r="486" spans="1:5" x14ac:dyDescent="0.2">
      <c r="A486" s="85"/>
      <c r="B486" s="62"/>
      <c r="C486" s="64"/>
      <c r="D486" s="64"/>
      <c r="E486" s="64"/>
    </row>
    <row r="487" spans="1:5" x14ac:dyDescent="0.2">
      <c r="A487" s="85"/>
      <c r="B487" s="62"/>
      <c r="C487" s="64"/>
      <c r="D487" s="64"/>
      <c r="E487" s="64"/>
    </row>
    <row r="488" spans="1:5" x14ac:dyDescent="0.2">
      <c r="A488" s="85"/>
      <c r="B488" s="62"/>
      <c r="C488" s="64"/>
      <c r="D488" s="64"/>
      <c r="E488" s="64"/>
    </row>
    <row r="489" spans="1:5" x14ac:dyDescent="0.2">
      <c r="A489" s="85"/>
      <c r="B489" s="62"/>
      <c r="C489" s="64"/>
      <c r="D489" s="64"/>
      <c r="E489" s="64"/>
    </row>
    <row r="490" spans="1:5" x14ac:dyDescent="0.2">
      <c r="A490" s="85"/>
      <c r="B490" s="62"/>
      <c r="C490" s="64"/>
      <c r="D490" s="64"/>
      <c r="E490" s="64"/>
    </row>
    <row r="491" spans="1:5" x14ac:dyDescent="0.2">
      <c r="A491" s="85"/>
      <c r="B491" s="62"/>
      <c r="C491" s="64"/>
      <c r="D491" s="64"/>
      <c r="E491" s="64"/>
    </row>
    <row r="492" spans="1:5" x14ac:dyDescent="0.2">
      <c r="A492" s="85"/>
      <c r="B492" s="62"/>
      <c r="C492" s="64"/>
      <c r="D492" s="64"/>
      <c r="E492" s="64"/>
    </row>
    <row r="493" spans="1:5" x14ac:dyDescent="0.2">
      <c r="A493" s="85"/>
      <c r="B493" s="62"/>
      <c r="C493" s="64"/>
      <c r="D493" s="64"/>
      <c r="E493" s="64"/>
    </row>
    <row r="494" spans="1:5" x14ac:dyDescent="0.2">
      <c r="A494" s="85"/>
      <c r="B494" s="62"/>
      <c r="C494" s="64"/>
      <c r="D494" s="64"/>
      <c r="E494" s="64"/>
    </row>
    <row r="495" spans="1:5" x14ac:dyDescent="0.2">
      <c r="A495" s="85"/>
      <c r="B495" s="62"/>
      <c r="C495" s="64"/>
      <c r="D495" s="64"/>
      <c r="E495" s="64"/>
    </row>
    <row r="496" spans="1:5" x14ac:dyDescent="0.2">
      <c r="A496" s="85"/>
      <c r="B496" s="62"/>
      <c r="C496" s="64"/>
      <c r="D496" s="64"/>
      <c r="E496" s="64"/>
    </row>
    <row r="497" spans="1:5" x14ac:dyDescent="0.2">
      <c r="A497" s="85"/>
      <c r="B497" s="62"/>
      <c r="C497" s="64"/>
      <c r="D497" s="64"/>
      <c r="E497" s="64"/>
    </row>
    <row r="498" spans="1:5" x14ac:dyDescent="0.2">
      <c r="A498" s="85"/>
      <c r="B498" s="62"/>
      <c r="C498" s="64"/>
      <c r="D498" s="64"/>
      <c r="E498" s="64"/>
    </row>
    <row r="499" spans="1:5" x14ac:dyDescent="0.2">
      <c r="A499" s="85"/>
      <c r="B499" s="62"/>
      <c r="C499" s="64"/>
      <c r="D499" s="64"/>
      <c r="E499" s="64"/>
    </row>
    <row r="500" spans="1:5" x14ac:dyDescent="0.2">
      <c r="A500" s="85"/>
      <c r="B500" s="62"/>
      <c r="C500" s="64"/>
      <c r="D500" s="64"/>
      <c r="E500" s="64"/>
    </row>
    <row r="501" spans="1:5" x14ac:dyDescent="0.2">
      <c r="A501" s="85"/>
      <c r="B501" s="62"/>
      <c r="C501" s="64"/>
      <c r="D501" s="64"/>
      <c r="E501" s="64"/>
    </row>
    <row r="502" spans="1:5" x14ac:dyDescent="0.2">
      <c r="A502" s="85"/>
      <c r="B502" s="62"/>
      <c r="C502" s="64"/>
      <c r="D502" s="64"/>
      <c r="E502" s="64"/>
    </row>
    <row r="503" spans="1:5" x14ac:dyDescent="0.2">
      <c r="A503" s="85"/>
      <c r="B503" s="62"/>
      <c r="C503" s="64"/>
      <c r="D503" s="64"/>
      <c r="E503" s="64"/>
    </row>
    <row r="504" spans="1:5" x14ac:dyDescent="0.2">
      <c r="A504" s="85"/>
      <c r="B504" s="62"/>
      <c r="C504" s="64"/>
      <c r="D504" s="64"/>
      <c r="E504" s="64"/>
    </row>
    <row r="505" spans="1:5" x14ac:dyDescent="0.2">
      <c r="A505" s="85"/>
      <c r="B505" s="62"/>
      <c r="C505" s="64"/>
      <c r="D505" s="64"/>
      <c r="E505" s="64"/>
    </row>
    <row r="506" spans="1:5" x14ac:dyDescent="0.2">
      <c r="A506" s="85"/>
      <c r="B506" s="62"/>
      <c r="C506" s="64"/>
      <c r="D506" s="64"/>
      <c r="E506" s="64"/>
    </row>
    <row r="507" spans="1:5" x14ac:dyDescent="0.2">
      <c r="A507" s="85"/>
      <c r="B507" s="62"/>
      <c r="C507" s="64"/>
      <c r="D507" s="64"/>
      <c r="E507" s="64"/>
    </row>
    <row r="508" spans="1:5" x14ac:dyDescent="0.2">
      <c r="A508" s="85"/>
      <c r="B508" s="62"/>
      <c r="C508" s="64"/>
      <c r="D508" s="64"/>
      <c r="E508" s="64"/>
    </row>
    <row r="509" spans="1:5" x14ac:dyDescent="0.2">
      <c r="A509" s="85"/>
      <c r="B509" s="62"/>
      <c r="C509" s="64"/>
      <c r="D509" s="64"/>
      <c r="E509" s="64"/>
    </row>
    <row r="510" spans="1:5" x14ac:dyDescent="0.2">
      <c r="A510" s="85"/>
      <c r="B510" s="62"/>
      <c r="C510" s="64"/>
      <c r="D510" s="64"/>
      <c r="E510" s="64"/>
    </row>
    <row r="511" spans="1:5" x14ac:dyDescent="0.2">
      <c r="A511" s="85"/>
      <c r="B511" s="62"/>
      <c r="C511" s="64"/>
      <c r="D511" s="64"/>
      <c r="E511" s="64"/>
    </row>
    <row r="512" spans="1:5" x14ac:dyDescent="0.2">
      <c r="A512" s="85"/>
      <c r="B512" s="62"/>
      <c r="C512" s="64"/>
      <c r="D512" s="64"/>
      <c r="E512" s="64"/>
    </row>
    <row r="513" spans="1:5" x14ac:dyDescent="0.2">
      <c r="A513" s="85"/>
      <c r="B513" s="62"/>
      <c r="C513" s="64"/>
      <c r="D513" s="64"/>
      <c r="E513" s="64"/>
    </row>
    <row r="514" spans="1:5" x14ac:dyDescent="0.2">
      <c r="A514" s="85"/>
      <c r="B514" s="62"/>
      <c r="C514" s="64"/>
      <c r="D514" s="64"/>
      <c r="E514" s="64"/>
    </row>
    <row r="515" spans="1:5" x14ac:dyDescent="0.2">
      <c r="A515" s="85"/>
      <c r="B515" s="62"/>
      <c r="C515" s="64"/>
      <c r="D515" s="64"/>
      <c r="E515" s="64"/>
    </row>
    <row r="516" spans="1:5" x14ac:dyDescent="0.2">
      <c r="A516" s="85"/>
      <c r="B516" s="62"/>
      <c r="C516" s="64"/>
      <c r="D516" s="64"/>
      <c r="E516" s="64"/>
    </row>
    <row r="517" spans="1:5" x14ac:dyDescent="0.2">
      <c r="A517" s="85"/>
      <c r="B517" s="62"/>
      <c r="C517" s="64"/>
      <c r="D517" s="64"/>
      <c r="E517" s="64"/>
    </row>
    <row r="518" spans="1:5" x14ac:dyDescent="0.2">
      <c r="A518" s="85"/>
      <c r="B518" s="62"/>
      <c r="C518" s="64"/>
      <c r="D518" s="64"/>
      <c r="E518" s="64"/>
    </row>
    <row r="519" spans="1:5" x14ac:dyDescent="0.2">
      <c r="A519" s="85"/>
      <c r="B519" s="62"/>
      <c r="C519" s="64"/>
      <c r="D519" s="64"/>
      <c r="E519" s="64"/>
    </row>
    <row r="520" spans="1:5" x14ac:dyDescent="0.2">
      <c r="A520" s="85"/>
      <c r="B520" s="62"/>
      <c r="C520" s="64"/>
      <c r="D520" s="64"/>
      <c r="E520" s="64"/>
    </row>
    <row r="521" spans="1:5" x14ac:dyDescent="0.2">
      <c r="A521" s="85"/>
      <c r="B521" s="62"/>
      <c r="C521" s="64"/>
      <c r="D521" s="64"/>
      <c r="E521" s="64"/>
    </row>
    <row r="522" spans="1:5" x14ac:dyDescent="0.2">
      <c r="A522" s="85"/>
      <c r="B522" s="62"/>
      <c r="C522" s="64"/>
      <c r="D522" s="64"/>
      <c r="E522" s="64"/>
    </row>
    <row r="523" spans="1:5" x14ac:dyDescent="0.2">
      <c r="A523" s="85"/>
      <c r="B523" s="62"/>
      <c r="C523" s="64"/>
      <c r="D523" s="64"/>
      <c r="E523" s="64"/>
    </row>
    <row r="524" spans="1:5" x14ac:dyDescent="0.2">
      <c r="A524" s="85"/>
      <c r="B524" s="62"/>
      <c r="C524" s="64"/>
      <c r="D524" s="64"/>
      <c r="E524" s="64"/>
    </row>
    <row r="525" spans="1:5" x14ac:dyDescent="0.2">
      <c r="A525" s="85"/>
      <c r="B525" s="62"/>
      <c r="C525" s="64"/>
      <c r="D525" s="64"/>
      <c r="E525" s="64"/>
    </row>
    <row r="526" spans="1:5" x14ac:dyDescent="0.2">
      <c r="A526" s="85"/>
      <c r="B526" s="62"/>
      <c r="C526" s="64"/>
      <c r="D526" s="64"/>
      <c r="E526" s="64"/>
    </row>
    <row r="527" spans="1:5" x14ac:dyDescent="0.2">
      <c r="A527" s="85"/>
      <c r="B527" s="62"/>
      <c r="C527" s="64"/>
      <c r="D527" s="64"/>
      <c r="E527" s="64"/>
    </row>
    <row r="528" spans="1:5" x14ac:dyDescent="0.2">
      <c r="A528" s="85"/>
      <c r="B528" s="62"/>
      <c r="C528" s="64"/>
      <c r="D528" s="64"/>
      <c r="E528" s="64"/>
    </row>
    <row r="529" spans="1:5" x14ac:dyDescent="0.2">
      <c r="A529" s="85"/>
      <c r="B529" s="62"/>
      <c r="C529" s="64"/>
      <c r="D529" s="64"/>
      <c r="E529" s="64"/>
    </row>
    <row r="530" spans="1:5" x14ac:dyDescent="0.2">
      <c r="A530" s="85"/>
      <c r="B530" s="62"/>
      <c r="C530" s="64"/>
      <c r="D530" s="64"/>
      <c r="E530" s="64"/>
    </row>
    <row r="531" spans="1:5" x14ac:dyDescent="0.2">
      <c r="A531" s="85"/>
      <c r="B531" s="62"/>
      <c r="C531" s="64"/>
      <c r="D531" s="64"/>
      <c r="E531" s="64"/>
    </row>
    <row r="532" spans="1:5" x14ac:dyDescent="0.2">
      <c r="A532" s="85"/>
      <c r="B532" s="62"/>
      <c r="C532" s="64"/>
      <c r="D532" s="64"/>
      <c r="E532" s="64"/>
    </row>
    <row r="533" spans="1:5" x14ac:dyDescent="0.2">
      <c r="A533" s="85"/>
      <c r="B533" s="62"/>
      <c r="C533" s="64"/>
      <c r="D533" s="64"/>
      <c r="E533" s="64"/>
    </row>
    <row r="534" spans="1:5" x14ac:dyDescent="0.2">
      <c r="A534" s="85"/>
      <c r="B534" s="62"/>
      <c r="C534" s="64"/>
      <c r="D534" s="64"/>
      <c r="E534" s="64"/>
    </row>
    <row r="535" spans="1:5" x14ac:dyDescent="0.2">
      <c r="A535" s="85"/>
      <c r="B535" s="62"/>
      <c r="C535" s="64"/>
      <c r="D535" s="64"/>
      <c r="E535" s="64"/>
    </row>
    <row r="536" spans="1:5" x14ac:dyDescent="0.2">
      <c r="A536" s="85"/>
      <c r="B536" s="62"/>
      <c r="C536" s="64"/>
      <c r="D536" s="64"/>
      <c r="E536" s="64"/>
    </row>
    <row r="537" spans="1:5" x14ac:dyDescent="0.2">
      <c r="A537" s="85"/>
      <c r="B537" s="62"/>
      <c r="C537" s="64"/>
      <c r="D537" s="64"/>
      <c r="E537" s="64"/>
    </row>
    <row r="538" spans="1:5" x14ac:dyDescent="0.2">
      <c r="A538" s="85"/>
      <c r="B538" s="62"/>
      <c r="C538" s="64"/>
      <c r="D538" s="64"/>
      <c r="E538" s="64"/>
    </row>
    <row r="539" spans="1:5" x14ac:dyDescent="0.2">
      <c r="A539" s="85"/>
      <c r="B539" s="62"/>
      <c r="C539" s="64"/>
      <c r="D539" s="64"/>
      <c r="E539" s="64"/>
    </row>
    <row r="540" spans="1:5" x14ac:dyDescent="0.2">
      <c r="A540" s="85"/>
      <c r="B540" s="62"/>
      <c r="C540" s="64"/>
      <c r="D540" s="64"/>
      <c r="E540" s="64"/>
    </row>
    <row r="541" spans="1:5" x14ac:dyDescent="0.2">
      <c r="A541" s="85"/>
      <c r="B541" s="62"/>
      <c r="C541" s="64"/>
      <c r="D541" s="64"/>
      <c r="E541" s="64"/>
    </row>
    <row r="542" spans="1:5" x14ac:dyDescent="0.2">
      <c r="A542" s="85"/>
      <c r="B542" s="62"/>
      <c r="C542" s="64"/>
      <c r="D542" s="64"/>
      <c r="E542" s="64"/>
    </row>
    <row r="543" spans="1:5" x14ac:dyDescent="0.2">
      <c r="A543" s="85"/>
      <c r="B543" s="62"/>
      <c r="C543" s="64"/>
      <c r="D543" s="64"/>
      <c r="E543" s="64"/>
    </row>
    <row r="544" spans="1:5" x14ac:dyDescent="0.2">
      <c r="A544" s="85"/>
      <c r="B544" s="62"/>
      <c r="C544" s="64"/>
      <c r="D544" s="64"/>
      <c r="E544" s="64"/>
    </row>
    <row r="545" spans="1:5" x14ac:dyDescent="0.2">
      <c r="A545" s="85"/>
      <c r="B545" s="62"/>
      <c r="C545" s="64"/>
      <c r="D545" s="64"/>
      <c r="E545" s="64"/>
    </row>
    <row r="546" spans="1:5" x14ac:dyDescent="0.2">
      <c r="A546" s="85"/>
      <c r="B546" s="62"/>
      <c r="C546" s="64"/>
      <c r="D546" s="64"/>
      <c r="E546" s="64"/>
    </row>
    <row r="547" spans="1:5" x14ac:dyDescent="0.2">
      <c r="A547" s="85"/>
      <c r="B547" s="62"/>
      <c r="C547" s="64"/>
      <c r="D547" s="64"/>
      <c r="E547" s="64"/>
    </row>
    <row r="548" spans="1:5" x14ac:dyDescent="0.2">
      <c r="A548" s="85"/>
      <c r="B548" s="62"/>
      <c r="C548" s="64"/>
      <c r="D548" s="64"/>
      <c r="E548" s="64"/>
    </row>
    <row r="549" spans="1:5" x14ac:dyDescent="0.2">
      <c r="A549" s="85"/>
      <c r="B549" s="62"/>
      <c r="C549" s="64"/>
      <c r="D549" s="64"/>
      <c r="E549" s="64"/>
    </row>
    <row r="550" spans="1:5" x14ac:dyDescent="0.2">
      <c r="A550" s="85"/>
      <c r="B550" s="62"/>
      <c r="C550" s="64"/>
      <c r="D550" s="64"/>
      <c r="E550" s="64"/>
    </row>
    <row r="551" spans="1:5" x14ac:dyDescent="0.2">
      <c r="A551" s="85"/>
      <c r="B551" s="62"/>
      <c r="C551" s="64"/>
      <c r="D551" s="64"/>
      <c r="E551" s="64"/>
    </row>
    <row r="552" spans="1:5" x14ac:dyDescent="0.2">
      <c r="A552" s="85"/>
      <c r="B552" s="62"/>
      <c r="C552" s="64"/>
      <c r="D552" s="64"/>
      <c r="E552" s="64"/>
    </row>
    <row r="553" spans="1:5" x14ac:dyDescent="0.2">
      <c r="A553" s="85"/>
      <c r="B553" s="62"/>
      <c r="C553" s="64"/>
      <c r="D553" s="64"/>
      <c r="E553" s="64"/>
    </row>
    <row r="554" spans="1:5" x14ac:dyDescent="0.2">
      <c r="A554" s="85"/>
      <c r="B554" s="62"/>
      <c r="C554" s="64"/>
      <c r="D554" s="64"/>
      <c r="E554" s="64"/>
    </row>
    <row r="555" spans="1:5" x14ac:dyDescent="0.2">
      <c r="A555" s="85"/>
      <c r="B555" s="62"/>
      <c r="C555" s="64"/>
      <c r="D555" s="64"/>
      <c r="E555" s="64"/>
    </row>
    <row r="556" spans="1:5" x14ac:dyDescent="0.2">
      <c r="A556" s="85"/>
      <c r="B556" s="62"/>
      <c r="C556" s="64"/>
      <c r="D556" s="64"/>
      <c r="E556" s="64"/>
    </row>
    <row r="557" spans="1:5" x14ac:dyDescent="0.2">
      <c r="A557" s="85"/>
      <c r="B557" s="62"/>
      <c r="C557" s="64"/>
      <c r="D557" s="64"/>
      <c r="E557" s="64"/>
    </row>
    <row r="558" spans="1:5" x14ac:dyDescent="0.2">
      <c r="A558" s="85"/>
      <c r="B558" s="62"/>
      <c r="C558" s="64"/>
      <c r="D558" s="64"/>
      <c r="E558" s="64"/>
    </row>
    <row r="559" spans="1:5" x14ac:dyDescent="0.2">
      <c r="A559" s="85"/>
      <c r="B559" s="62"/>
      <c r="C559" s="64"/>
      <c r="D559" s="64"/>
      <c r="E559" s="64"/>
    </row>
    <row r="560" spans="1:5" x14ac:dyDescent="0.2">
      <c r="A560" s="85"/>
      <c r="B560" s="62"/>
      <c r="C560" s="64"/>
      <c r="D560" s="64"/>
      <c r="E560" s="64"/>
    </row>
    <row r="561" spans="1:5" x14ac:dyDescent="0.2">
      <c r="A561" s="85"/>
      <c r="B561" s="62"/>
      <c r="C561" s="64"/>
      <c r="D561" s="64"/>
      <c r="E561" s="64"/>
    </row>
    <row r="562" spans="1:5" x14ac:dyDescent="0.2">
      <c r="A562" s="85"/>
      <c r="B562" s="62"/>
      <c r="C562" s="64"/>
      <c r="D562" s="64"/>
      <c r="E562" s="64"/>
    </row>
    <row r="563" spans="1:5" x14ac:dyDescent="0.2">
      <c r="A563" s="85"/>
      <c r="B563" s="62"/>
      <c r="C563" s="64"/>
      <c r="D563" s="64"/>
      <c r="E563" s="64"/>
    </row>
    <row r="564" spans="1:5" x14ac:dyDescent="0.2">
      <c r="A564" s="85"/>
      <c r="B564" s="62"/>
      <c r="C564" s="64"/>
      <c r="D564" s="64"/>
      <c r="E564" s="64"/>
    </row>
    <row r="565" spans="1:5" x14ac:dyDescent="0.2">
      <c r="A565" s="85"/>
      <c r="B565" s="62"/>
      <c r="C565" s="64"/>
      <c r="D565" s="64"/>
      <c r="E565" s="64"/>
    </row>
    <row r="566" spans="1:5" x14ac:dyDescent="0.2">
      <c r="A566" s="85"/>
      <c r="B566" s="62"/>
      <c r="C566" s="64"/>
      <c r="D566" s="64"/>
      <c r="E566" s="64"/>
    </row>
    <row r="567" spans="1:5" x14ac:dyDescent="0.2">
      <c r="A567" s="85"/>
      <c r="B567" s="62"/>
      <c r="C567" s="64"/>
      <c r="D567" s="64"/>
      <c r="E567" s="64"/>
    </row>
    <row r="568" spans="1:5" x14ac:dyDescent="0.2">
      <c r="A568" s="85"/>
      <c r="B568" s="62"/>
      <c r="C568" s="64"/>
      <c r="D568" s="64"/>
      <c r="E568" s="64"/>
    </row>
    <row r="569" spans="1:5" x14ac:dyDescent="0.2">
      <c r="A569" s="85"/>
      <c r="B569" s="62"/>
      <c r="C569" s="64"/>
      <c r="D569" s="64"/>
      <c r="E569" s="64"/>
    </row>
    <row r="570" spans="1:5" x14ac:dyDescent="0.2">
      <c r="A570" s="85"/>
      <c r="B570" s="62"/>
      <c r="C570" s="64"/>
      <c r="D570" s="64"/>
      <c r="E570" s="64"/>
    </row>
    <row r="571" spans="1:5" x14ac:dyDescent="0.2">
      <c r="A571" s="85"/>
      <c r="B571" s="62"/>
      <c r="C571" s="64"/>
      <c r="D571" s="64"/>
      <c r="E571" s="64"/>
    </row>
    <row r="572" spans="1:5" x14ac:dyDescent="0.2">
      <c r="A572" s="85"/>
      <c r="B572" s="62"/>
      <c r="C572" s="64"/>
      <c r="D572" s="64"/>
      <c r="E572" s="64"/>
    </row>
    <row r="573" spans="1:5" x14ac:dyDescent="0.2">
      <c r="A573" s="85"/>
      <c r="B573" s="62"/>
      <c r="C573" s="64"/>
      <c r="D573" s="64"/>
      <c r="E573" s="64"/>
    </row>
    <row r="574" spans="1:5" x14ac:dyDescent="0.2">
      <c r="A574" s="85"/>
      <c r="B574" s="62"/>
      <c r="C574" s="64"/>
      <c r="D574" s="64"/>
      <c r="E574" s="64"/>
    </row>
    <row r="575" spans="1:5" x14ac:dyDescent="0.2">
      <c r="A575" s="85"/>
      <c r="B575" s="62"/>
      <c r="C575" s="64"/>
      <c r="D575" s="64"/>
      <c r="E575" s="64"/>
    </row>
    <row r="576" spans="1:5" x14ac:dyDescent="0.2">
      <c r="A576" s="85"/>
      <c r="B576" s="62"/>
      <c r="C576" s="64"/>
      <c r="D576" s="64"/>
      <c r="E576" s="64"/>
    </row>
    <row r="577" spans="1:5" x14ac:dyDescent="0.2">
      <c r="A577" s="85"/>
      <c r="B577" s="62"/>
      <c r="C577" s="64"/>
      <c r="D577" s="64"/>
      <c r="E577" s="64"/>
    </row>
    <row r="578" spans="1:5" x14ac:dyDescent="0.2">
      <c r="A578" s="85"/>
      <c r="B578" s="62"/>
      <c r="C578" s="64"/>
      <c r="D578" s="64"/>
      <c r="E578" s="64"/>
    </row>
    <row r="579" spans="1:5" x14ac:dyDescent="0.2">
      <c r="A579" s="85"/>
      <c r="B579" s="62"/>
      <c r="C579" s="64"/>
      <c r="D579" s="64"/>
      <c r="E579" s="64"/>
    </row>
    <row r="580" spans="1:5" x14ac:dyDescent="0.2">
      <c r="A580" s="85"/>
      <c r="B580" s="62"/>
      <c r="C580" s="64"/>
      <c r="D580" s="64"/>
      <c r="E580" s="64"/>
    </row>
    <row r="581" spans="1:5" x14ac:dyDescent="0.2">
      <c r="A581" s="85"/>
      <c r="B581" s="62"/>
      <c r="C581" s="64"/>
      <c r="D581" s="64"/>
      <c r="E581" s="64"/>
    </row>
    <row r="582" spans="1:5" x14ac:dyDescent="0.2">
      <c r="A582" s="85"/>
      <c r="B582" s="62"/>
      <c r="C582" s="64"/>
      <c r="D582" s="64"/>
      <c r="E582" s="64"/>
    </row>
    <row r="583" spans="1:5" x14ac:dyDescent="0.2">
      <c r="A583" s="85"/>
      <c r="B583" s="62"/>
      <c r="C583" s="64"/>
      <c r="D583" s="64"/>
      <c r="E583" s="64"/>
    </row>
    <row r="584" spans="1:5" x14ac:dyDescent="0.2">
      <c r="A584" s="85"/>
      <c r="B584" s="62"/>
      <c r="C584" s="64"/>
      <c r="D584" s="64"/>
      <c r="E584" s="64"/>
    </row>
    <row r="585" spans="1:5" x14ac:dyDescent="0.2">
      <c r="A585" s="85"/>
      <c r="B585" s="62"/>
      <c r="C585" s="64"/>
      <c r="D585" s="64"/>
      <c r="E585" s="64"/>
    </row>
    <row r="586" spans="1:5" x14ac:dyDescent="0.2">
      <c r="A586" s="85"/>
      <c r="B586" s="62"/>
      <c r="C586" s="64"/>
      <c r="D586" s="64"/>
      <c r="E586" s="64"/>
    </row>
    <row r="587" spans="1:5" x14ac:dyDescent="0.2">
      <c r="A587" s="85"/>
      <c r="B587" s="62"/>
      <c r="C587" s="64"/>
      <c r="D587" s="64"/>
      <c r="E587" s="64"/>
    </row>
    <row r="588" spans="1:5" x14ac:dyDescent="0.2">
      <c r="A588" s="85"/>
      <c r="B588" s="62"/>
      <c r="C588" s="64"/>
      <c r="D588" s="64"/>
      <c r="E588" s="64"/>
    </row>
    <row r="589" spans="1:5" x14ac:dyDescent="0.2">
      <c r="A589" s="85"/>
      <c r="B589" s="62"/>
      <c r="C589" s="64"/>
      <c r="D589" s="64"/>
      <c r="E589" s="64"/>
    </row>
    <row r="590" spans="1:5" x14ac:dyDescent="0.2">
      <c r="A590" s="85"/>
      <c r="B590" s="62"/>
      <c r="C590" s="64"/>
      <c r="D590" s="64"/>
      <c r="E590" s="64"/>
    </row>
    <row r="591" spans="1:5" x14ac:dyDescent="0.2">
      <c r="A591" s="85"/>
      <c r="B591" s="62"/>
      <c r="C591" s="64"/>
      <c r="D591" s="64"/>
      <c r="E591" s="64"/>
    </row>
    <row r="592" spans="1:5" x14ac:dyDescent="0.2">
      <c r="A592" s="85"/>
      <c r="B592" s="62"/>
      <c r="C592" s="64"/>
      <c r="D592" s="64"/>
      <c r="E592" s="64"/>
    </row>
    <row r="593" spans="1:5" x14ac:dyDescent="0.2">
      <c r="A593" s="85"/>
      <c r="B593" s="62"/>
      <c r="C593" s="64"/>
      <c r="D593" s="64"/>
      <c r="E593" s="64"/>
    </row>
    <row r="594" spans="1:5" x14ac:dyDescent="0.2">
      <c r="A594" s="85"/>
      <c r="B594" s="62"/>
      <c r="C594" s="64"/>
      <c r="D594" s="64"/>
      <c r="E594" s="64"/>
    </row>
    <row r="595" spans="1:5" x14ac:dyDescent="0.2">
      <c r="A595" s="85"/>
      <c r="B595" s="62"/>
      <c r="C595" s="64"/>
      <c r="D595" s="64"/>
      <c r="E595" s="64"/>
    </row>
    <row r="596" spans="1:5" x14ac:dyDescent="0.2">
      <c r="A596" s="85"/>
      <c r="B596" s="62"/>
      <c r="C596" s="64"/>
      <c r="D596" s="64"/>
      <c r="E596" s="64"/>
    </row>
    <row r="597" spans="1:5" x14ac:dyDescent="0.2">
      <c r="A597" s="85"/>
      <c r="B597" s="62"/>
      <c r="C597" s="64"/>
      <c r="D597" s="64"/>
      <c r="E597" s="64"/>
    </row>
    <row r="598" spans="1:5" x14ac:dyDescent="0.2">
      <c r="A598" s="85"/>
      <c r="B598" s="62"/>
      <c r="C598" s="64"/>
      <c r="D598" s="64"/>
      <c r="E598" s="64"/>
    </row>
    <row r="599" spans="1:5" x14ac:dyDescent="0.2">
      <c r="A599" s="85"/>
      <c r="B599" s="62"/>
      <c r="C599" s="64"/>
      <c r="D599" s="64"/>
      <c r="E599" s="64"/>
    </row>
    <row r="600" spans="1:5" x14ac:dyDescent="0.2">
      <c r="A600" s="85"/>
      <c r="B600" s="62"/>
      <c r="C600" s="64"/>
      <c r="D600" s="64"/>
      <c r="E600" s="64"/>
    </row>
    <row r="601" spans="1:5" x14ac:dyDescent="0.2">
      <c r="A601" s="85"/>
      <c r="B601" s="62"/>
      <c r="C601" s="64"/>
      <c r="D601" s="64"/>
      <c r="E601" s="64"/>
    </row>
    <row r="602" spans="1:5" x14ac:dyDescent="0.2">
      <c r="A602" s="85"/>
      <c r="B602" s="62"/>
      <c r="C602" s="64"/>
      <c r="D602" s="64"/>
      <c r="E602" s="64"/>
    </row>
    <row r="603" spans="1:5" x14ac:dyDescent="0.2">
      <c r="A603" s="85"/>
      <c r="B603" s="62"/>
      <c r="C603" s="64"/>
      <c r="D603" s="64"/>
      <c r="E603" s="64"/>
    </row>
    <row r="604" spans="1:5" x14ac:dyDescent="0.2">
      <c r="A604" s="85"/>
      <c r="B604" s="62"/>
      <c r="C604" s="64"/>
      <c r="D604" s="64"/>
      <c r="E604" s="64"/>
    </row>
    <row r="605" spans="1:5" x14ac:dyDescent="0.2">
      <c r="A605" s="85"/>
      <c r="B605" s="62"/>
      <c r="C605" s="64"/>
      <c r="D605" s="64"/>
      <c r="E605" s="64"/>
    </row>
    <row r="606" spans="1:5" x14ac:dyDescent="0.2">
      <c r="A606" s="85"/>
      <c r="B606" s="62"/>
      <c r="C606" s="64"/>
      <c r="D606" s="64"/>
      <c r="E606" s="64"/>
    </row>
    <row r="607" spans="1:5" x14ac:dyDescent="0.2">
      <c r="A607" s="85"/>
      <c r="B607" s="62"/>
      <c r="C607" s="64"/>
      <c r="D607" s="64"/>
      <c r="E607" s="64"/>
    </row>
    <row r="608" spans="1:5" x14ac:dyDescent="0.2">
      <c r="A608" s="85"/>
      <c r="B608" s="62"/>
      <c r="C608" s="64"/>
      <c r="D608" s="64"/>
      <c r="E608" s="64"/>
    </row>
    <row r="609" spans="1:5" x14ac:dyDescent="0.2">
      <c r="A609" s="85"/>
      <c r="B609" s="62"/>
      <c r="C609" s="64"/>
      <c r="D609" s="64"/>
      <c r="E609" s="64"/>
    </row>
    <row r="610" spans="1:5" x14ac:dyDescent="0.2">
      <c r="A610" s="85"/>
      <c r="B610" s="62"/>
      <c r="C610" s="64"/>
      <c r="D610" s="64"/>
      <c r="E610" s="64"/>
    </row>
    <row r="611" spans="1:5" x14ac:dyDescent="0.2">
      <c r="A611" s="85"/>
      <c r="B611" s="62"/>
      <c r="C611" s="64"/>
      <c r="D611" s="64"/>
      <c r="E611" s="64"/>
    </row>
    <row r="612" spans="1:5" x14ac:dyDescent="0.2">
      <c r="A612" s="85"/>
      <c r="B612" s="62"/>
      <c r="C612" s="64"/>
      <c r="D612" s="64"/>
      <c r="E612" s="64"/>
    </row>
    <row r="613" spans="1:5" x14ac:dyDescent="0.2">
      <c r="A613" s="85"/>
      <c r="B613" s="62"/>
      <c r="C613" s="64"/>
      <c r="D613" s="64"/>
      <c r="E613" s="64"/>
    </row>
    <row r="614" spans="1:5" x14ac:dyDescent="0.2">
      <c r="A614" s="85"/>
      <c r="B614" s="62"/>
      <c r="C614" s="64"/>
      <c r="D614" s="64"/>
      <c r="E614" s="64"/>
    </row>
    <row r="615" spans="1:5" x14ac:dyDescent="0.2">
      <c r="A615" s="85"/>
      <c r="B615" s="62"/>
      <c r="C615" s="64"/>
      <c r="D615" s="64"/>
      <c r="E615" s="64"/>
    </row>
    <row r="616" spans="1:5" x14ac:dyDescent="0.2">
      <c r="A616" s="85"/>
      <c r="B616" s="62"/>
      <c r="C616" s="64"/>
      <c r="D616" s="64"/>
      <c r="E616" s="64"/>
    </row>
    <row r="617" spans="1:5" x14ac:dyDescent="0.2">
      <c r="A617" s="85"/>
      <c r="B617" s="62"/>
      <c r="C617" s="64"/>
      <c r="D617" s="64"/>
      <c r="E617" s="64"/>
    </row>
    <row r="618" spans="1:5" x14ac:dyDescent="0.2">
      <c r="A618" s="85"/>
      <c r="B618" s="62"/>
      <c r="C618" s="64"/>
      <c r="D618" s="64"/>
      <c r="E618" s="64"/>
    </row>
    <row r="619" spans="1:5" x14ac:dyDescent="0.2">
      <c r="A619" s="85"/>
      <c r="B619" s="62"/>
      <c r="C619" s="64"/>
      <c r="D619" s="64"/>
      <c r="E619" s="64"/>
    </row>
    <row r="620" spans="1:5" x14ac:dyDescent="0.2">
      <c r="A620" s="85"/>
      <c r="B620" s="62"/>
      <c r="C620" s="64"/>
      <c r="D620" s="64"/>
      <c r="E620" s="64"/>
    </row>
    <row r="621" spans="1:5" x14ac:dyDescent="0.2">
      <c r="A621" s="85"/>
      <c r="B621" s="62"/>
      <c r="C621" s="64"/>
      <c r="D621" s="64"/>
      <c r="E621" s="64"/>
    </row>
    <row r="622" spans="1:5" x14ac:dyDescent="0.2">
      <c r="A622" s="85"/>
      <c r="B622" s="62"/>
      <c r="C622" s="64"/>
      <c r="D622" s="64"/>
      <c r="E622" s="64"/>
    </row>
    <row r="623" spans="1:5" x14ac:dyDescent="0.2">
      <c r="A623" s="85"/>
      <c r="B623" s="62"/>
      <c r="C623" s="64"/>
      <c r="D623" s="64"/>
      <c r="E623" s="64"/>
    </row>
    <row r="624" spans="1:5" x14ac:dyDescent="0.2">
      <c r="A624" s="85"/>
      <c r="B624" s="62"/>
      <c r="C624" s="64"/>
      <c r="D624" s="64"/>
      <c r="E624" s="64"/>
    </row>
    <row r="625" spans="1:5" x14ac:dyDescent="0.2">
      <c r="A625" s="85"/>
      <c r="B625" s="62"/>
      <c r="C625" s="64"/>
      <c r="D625" s="64"/>
      <c r="E625" s="64"/>
    </row>
    <row r="626" spans="1:5" x14ac:dyDescent="0.2">
      <c r="A626" s="85"/>
      <c r="B626" s="62"/>
      <c r="C626" s="64"/>
      <c r="D626" s="64"/>
      <c r="E626" s="64"/>
    </row>
    <row r="627" spans="1:5" x14ac:dyDescent="0.2">
      <c r="A627" s="85"/>
      <c r="B627" s="62"/>
      <c r="C627" s="64"/>
      <c r="D627" s="64"/>
      <c r="E627" s="64"/>
    </row>
    <row r="628" spans="1:5" x14ac:dyDescent="0.2">
      <c r="A628" s="85"/>
      <c r="B628" s="62"/>
      <c r="C628" s="64"/>
      <c r="D628" s="64"/>
      <c r="E628" s="64"/>
    </row>
    <row r="629" spans="1:5" x14ac:dyDescent="0.2">
      <c r="A629" s="85"/>
      <c r="B629" s="62"/>
      <c r="C629" s="64"/>
      <c r="D629" s="64"/>
      <c r="E629" s="64"/>
    </row>
    <row r="630" spans="1:5" x14ac:dyDescent="0.2">
      <c r="A630" s="85"/>
      <c r="B630" s="62"/>
      <c r="C630" s="64"/>
      <c r="D630" s="64"/>
      <c r="E630" s="64"/>
    </row>
    <row r="631" spans="1:5" x14ac:dyDescent="0.2">
      <c r="A631" s="85"/>
      <c r="B631" s="62"/>
      <c r="C631" s="64"/>
      <c r="D631" s="64"/>
      <c r="E631" s="64"/>
    </row>
    <row r="632" spans="1:5" x14ac:dyDescent="0.2">
      <c r="A632" s="85"/>
      <c r="B632" s="62"/>
      <c r="C632" s="64"/>
      <c r="D632" s="64"/>
      <c r="E632" s="64"/>
    </row>
    <row r="633" spans="1:5" x14ac:dyDescent="0.2">
      <c r="A633" s="85"/>
      <c r="B633" s="62"/>
      <c r="C633" s="64"/>
      <c r="D633" s="64"/>
      <c r="E633" s="64"/>
    </row>
    <row r="634" spans="1:5" x14ac:dyDescent="0.2">
      <c r="A634" s="85"/>
      <c r="B634" s="62"/>
      <c r="C634" s="64"/>
      <c r="D634" s="64"/>
      <c r="E634" s="64"/>
    </row>
    <row r="635" spans="1:5" x14ac:dyDescent="0.2">
      <c r="A635" s="85"/>
      <c r="B635" s="62"/>
      <c r="C635" s="64"/>
      <c r="D635" s="64"/>
      <c r="E635" s="64"/>
    </row>
    <row r="636" spans="1:5" x14ac:dyDescent="0.2">
      <c r="A636" s="85"/>
      <c r="B636" s="62"/>
      <c r="C636" s="64"/>
      <c r="D636" s="64"/>
      <c r="E636" s="64"/>
    </row>
    <row r="637" spans="1:5" x14ac:dyDescent="0.2">
      <c r="A637" s="85"/>
      <c r="B637" s="62"/>
      <c r="C637" s="64"/>
      <c r="D637" s="64"/>
      <c r="E637" s="64"/>
    </row>
    <row r="638" spans="1:5" x14ac:dyDescent="0.2">
      <c r="A638" s="85"/>
      <c r="B638" s="62"/>
      <c r="C638" s="64"/>
      <c r="D638" s="64"/>
      <c r="E638" s="64"/>
    </row>
    <row r="639" spans="1:5" x14ac:dyDescent="0.2">
      <c r="A639" s="85"/>
      <c r="B639" s="62"/>
      <c r="C639" s="64"/>
      <c r="D639" s="64"/>
      <c r="E639" s="64"/>
    </row>
    <row r="640" spans="1:5" x14ac:dyDescent="0.2">
      <c r="A640" s="85"/>
      <c r="B640" s="62"/>
      <c r="C640" s="64"/>
      <c r="D640" s="64"/>
      <c r="E640" s="64"/>
    </row>
    <row r="641" spans="1:5" x14ac:dyDescent="0.2">
      <c r="A641" s="85"/>
      <c r="B641" s="62"/>
      <c r="C641" s="64"/>
      <c r="D641" s="64"/>
      <c r="E641" s="64"/>
    </row>
    <row r="642" spans="1:5" x14ac:dyDescent="0.2">
      <c r="A642" s="85"/>
      <c r="B642" s="62"/>
      <c r="C642" s="64"/>
      <c r="D642" s="64"/>
      <c r="E642" s="64"/>
    </row>
    <row r="643" spans="1:5" x14ac:dyDescent="0.2">
      <c r="A643" s="85"/>
      <c r="B643" s="62"/>
      <c r="C643" s="64"/>
      <c r="D643" s="64"/>
      <c r="E643" s="64"/>
    </row>
    <row r="644" spans="1:5" x14ac:dyDescent="0.2">
      <c r="A644" s="85"/>
      <c r="B644" s="62"/>
      <c r="C644" s="64"/>
      <c r="D644" s="64"/>
      <c r="E644" s="64"/>
    </row>
    <row r="645" spans="1:5" x14ac:dyDescent="0.2">
      <c r="A645" s="85"/>
      <c r="B645" s="62"/>
      <c r="C645" s="64"/>
      <c r="D645" s="64"/>
      <c r="E645" s="64"/>
    </row>
    <row r="646" spans="1:5" x14ac:dyDescent="0.2">
      <c r="A646" s="85"/>
      <c r="B646" s="62"/>
      <c r="C646" s="64"/>
      <c r="D646" s="64"/>
      <c r="E646" s="64"/>
    </row>
    <row r="647" spans="1:5" x14ac:dyDescent="0.2">
      <c r="A647" s="85"/>
      <c r="B647" s="62"/>
      <c r="C647" s="64"/>
      <c r="D647" s="64"/>
      <c r="E647" s="64"/>
    </row>
    <row r="648" spans="1:5" x14ac:dyDescent="0.2">
      <c r="A648" s="85"/>
      <c r="B648" s="62"/>
      <c r="C648" s="64"/>
      <c r="D648" s="64"/>
      <c r="E648" s="64"/>
    </row>
    <row r="649" spans="1:5" x14ac:dyDescent="0.2">
      <c r="A649" s="85"/>
      <c r="B649" s="62"/>
      <c r="C649" s="64"/>
      <c r="D649" s="64"/>
      <c r="E649" s="64"/>
    </row>
    <row r="650" spans="1:5" x14ac:dyDescent="0.2">
      <c r="A650" s="85"/>
      <c r="B650" s="62"/>
      <c r="C650" s="64"/>
      <c r="D650" s="64"/>
      <c r="E650" s="64"/>
    </row>
    <row r="651" spans="1:5" x14ac:dyDescent="0.2">
      <c r="A651" s="85"/>
      <c r="B651" s="62"/>
      <c r="C651" s="64"/>
      <c r="D651" s="64"/>
      <c r="E651" s="64"/>
    </row>
    <row r="652" spans="1:5" x14ac:dyDescent="0.2">
      <c r="A652" s="85"/>
      <c r="B652" s="62"/>
      <c r="C652" s="64"/>
      <c r="D652" s="64"/>
      <c r="E652" s="64"/>
    </row>
    <row r="653" spans="1:5" x14ac:dyDescent="0.2">
      <c r="A653" s="85"/>
      <c r="B653" s="62"/>
      <c r="C653" s="64"/>
      <c r="D653" s="64"/>
      <c r="E653" s="64"/>
    </row>
    <row r="654" spans="1:5" x14ac:dyDescent="0.2">
      <c r="A654" s="85"/>
      <c r="B654" s="62"/>
      <c r="C654" s="64"/>
      <c r="D654" s="64"/>
      <c r="E654" s="64"/>
    </row>
    <row r="655" spans="1:5" x14ac:dyDescent="0.2">
      <c r="A655" s="85"/>
      <c r="B655" s="62"/>
      <c r="C655" s="64"/>
      <c r="D655" s="64"/>
      <c r="E655" s="64"/>
    </row>
    <row r="656" spans="1:5" x14ac:dyDescent="0.2">
      <c r="A656" s="85"/>
      <c r="B656" s="62"/>
      <c r="C656" s="64"/>
      <c r="D656" s="64"/>
      <c r="E656" s="64"/>
    </row>
    <row r="657" spans="1:5" x14ac:dyDescent="0.2">
      <c r="A657" s="85"/>
      <c r="B657" s="62"/>
      <c r="C657" s="64"/>
      <c r="D657" s="64"/>
      <c r="E657" s="64"/>
    </row>
    <row r="658" spans="1:5" x14ac:dyDescent="0.2">
      <c r="A658" s="85"/>
      <c r="B658" s="62"/>
      <c r="C658" s="64"/>
      <c r="D658" s="64"/>
      <c r="E658" s="64"/>
    </row>
    <row r="659" spans="1:5" x14ac:dyDescent="0.2">
      <c r="A659" s="85"/>
      <c r="B659" s="62"/>
      <c r="C659" s="64"/>
      <c r="D659" s="64"/>
      <c r="E659" s="64"/>
    </row>
    <row r="660" spans="1:5" x14ac:dyDescent="0.2">
      <c r="A660" s="85"/>
      <c r="B660" s="62"/>
      <c r="C660" s="64"/>
      <c r="D660" s="64"/>
      <c r="E660" s="64"/>
    </row>
    <row r="661" spans="1:5" x14ac:dyDescent="0.2">
      <c r="A661" s="85"/>
      <c r="B661" s="62"/>
      <c r="C661" s="64"/>
      <c r="D661" s="64"/>
      <c r="E661" s="64"/>
    </row>
    <row r="662" spans="1:5" x14ac:dyDescent="0.2">
      <c r="A662" s="85"/>
      <c r="B662" s="62"/>
      <c r="C662" s="64"/>
      <c r="D662" s="64"/>
      <c r="E662" s="64"/>
    </row>
    <row r="663" spans="1:5" x14ac:dyDescent="0.2">
      <c r="A663" s="85"/>
      <c r="B663" s="62"/>
      <c r="C663" s="64"/>
      <c r="D663" s="64"/>
      <c r="E663" s="64"/>
    </row>
    <row r="664" spans="1:5" x14ac:dyDescent="0.2">
      <c r="A664" s="85"/>
      <c r="B664" s="62"/>
      <c r="C664" s="64"/>
      <c r="D664" s="64"/>
      <c r="E664" s="64"/>
    </row>
    <row r="665" spans="1:5" x14ac:dyDescent="0.2">
      <c r="A665" s="85"/>
      <c r="B665" s="62"/>
      <c r="C665" s="64"/>
      <c r="D665" s="64"/>
      <c r="E665" s="64"/>
    </row>
    <row r="666" spans="1:5" x14ac:dyDescent="0.2">
      <c r="A666" s="85"/>
      <c r="B666" s="62"/>
      <c r="C666" s="64"/>
      <c r="D666" s="64"/>
      <c r="E666" s="64"/>
    </row>
    <row r="667" spans="1:5" x14ac:dyDescent="0.2">
      <c r="A667" s="85"/>
      <c r="B667" s="62"/>
      <c r="C667" s="64"/>
      <c r="D667" s="64"/>
      <c r="E667" s="64"/>
    </row>
    <row r="668" spans="1:5" x14ac:dyDescent="0.2">
      <c r="A668" s="85"/>
      <c r="B668" s="62"/>
      <c r="C668" s="64"/>
      <c r="D668" s="64"/>
      <c r="E668" s="64"/>
    </row>
    <row r="669" spans="1:5" x14ac:dyDescent="0.2">
      <c r="A669" s="85"/>
      <c r="B669" s="62"/>
      <c r="C669" s="64"/>
      <c r="D669" s="64"/>
      <c r="E669" s="64"/>
    </row>
    <row r="670" spans="1:5" x14ac:dyDescent="0.2">
      <c r="A670" s="85"/>
      <c r="B670" s="62"/>
      <c r="C670" s="64"/>
      <c r="D670" s="64"/>
      <c r="E670" s="64"/>
    </row>
    <row r="671" spans="1:5" x14ac:dyDescent="0.2">
      <c r="A671" s="85"/>
      <c r="B671" s="62"/>
      <c r="C671" s="64"/>
      <c r="D671" s="64"/>
      <c r="E671" s="64"/>
    </row>
    <row r="672" spans="1:5" x14ac:dyDescent="0.2">
      <c r="A672" s="85"/>
      <c r="B672" s="62"/>
      <c r="C672" s="64"/>
      <c r="D672" s="64"/>
      <c r="E672" s="64"/>
    </row>
    <row r="673" spans="1:5" x14ac:dyDescent="0.2">
      <c r="A673" s="85"/>
      <c r="B673" s="62"/>
      <c r="C673" s="64"/>
      <c r="D673" s="64"/>
      <c r="E673" s="64"/>
    </row>
    <row r="674" spans="1:5" x14ac:dyDescent="0.2">
      <c r="A674" s="85"/>
      <c r="B674" s="62"/>
      <c r="C674" s="64"/>
      <c r="D674" s="64"/>
      <c r="E674" s="64"/>
    </row>
    <row r="675" spans="1:5" x14ac:dyDescent="0.2">
      <c r="A675" s="85"/>
      <c r="B675" s="62"/>
      <c r="C675" s="64"/>
      <c r="D675" s="64"/>
      <c r="E675" s="64"/>
    </row>
    <row r="676" spans="1:5" x14ac:dyDescent="0.2">
      <c r="A676" s="85"/>
      <c r="B676" s="62"/>
      <c r="C676" s="64"/>
      <c r="D676" s="64"/>
      <c r="E676" s="64"/>
    </row>
    <row r="677" spans="1:5" x14ac:dyDescent="0.2">
      <c r="A677" s="85"/>
      <c r="B677" s="62"/>
      <c r="C677" s="64"/>
      <c r="D677" s="64"/>
      <c r="E677" s="64"/>
    </row>
    <row r="678" spans="1:5" x14ac:dyDescent="0.2">
      <c r="A678" s="85"/>
      <c r="B678" s="62"/>
      <c r="C678" s="64"/>
      <c r="D678" s="64"/>
      <c r="E678" s="64"/>
    </row>
    <row r="679" spans="1:5" x14ac:dyDescent="0.2">
      <c r="A679" s="85"/>
      <c r="B679" s="62"/>
      <c r="C679" s="64"/>
      <c r="D679" s="64"/>
      <c r="E679" s="64"/>
    </row>
    <row r="680" spans="1:5" x14ac:dyDescent="0.2">
      <c r="A680" s="85"/>
      <c r="B680" s="62"/>
      <c r="C680" s="64"/>
      <c r="D680" s="64"/>
      <c r="E680" s="64"/>
    </row>
    <row r="681" spans="1:5" x14ac:dyDescent="0.2">
      <c r="A681" s="85"/>
      <c r="B681" s="62"/>
      <c r="C681" s="64"/>
      <c r="D681" s="64"/>
      <c r="E681" s="64"/>
    </row>
    <row r="682" spans="1:5" x14ac:dyDescent="0.2">
      <c r="A682" s="85"/>
      <c r="B682" s="62"/>
      <c r="C682" s="64"/>
      <c r="D682" s="64"/>
      <c r="E682" s="64"/>
    </row>
    <row r="683" spans="1:5" x14ac:dyDescent="0.2">
      <c r="A683" s="85"/>
      <c r="B683" s="62"/>
      <c r="C683" s="64"/>
      <c r="D683" s="64"/>
      <c r="E683" s="64"/>
    </row>
    <row r="684" spans="1:5" x14ac:dyDescent="0.2">
      <c r="A684" s="85"/>
      <c r="B684" s="62"/>
      <c r="C684" s="64"/>
      <c r="D684" s="64"/>
      <c r="E684" s="64"/>
    </row>
    <row r="685" spans="1:5" x14ac:dyDescent="0.2">
      <c r="A685" s="85"/>
      <c r="B685" s="62"/>
      <c r="C685" s="64"/>
      <c r="D685" s="64"/>
      <c r="E685" s="64"/>
    </row>
    <row r="686" spans="1:5" x14ac:dyDescent="0.2">
      <c r="A686" s="85"/>
      <c r="B686" s="62"/>
      <c r="C686" s="64"/>
      <c r="D686" s="64"/>
      <c r="E686" s="64"/>
    </row>
    <row r="687" spans="1:5" x14ac:dyDescent="0.2">
      <c r="A687" s="85"/>
      <c r="B687" s="62"/>
      <c r="C687" s="64"/>
      <c r="D687" s="64"/>
      <c r="E687" s="64"/>
    </row>
    <row r="688" spans="1:5" x14ac:dyDescent="0.2">
      <c r="A688" s="85"/>
      <c r="B688" s="62"/>
      <c r="C688" s="64"/>
      <c r="D688" s="64"/>
      <c r="E688" s="64"/>
    </row>
    <row r="689" spans="1:5" x14ac:dyDescent="0.2">
      <c r="A689" s="85"/>
      <c r="B689" s="62"/>
      <c r="C689" s="64"/>
      <c r="D689" s="64"/>
      <c r="E689" s="64"/>
    </row>
    <row r="690" spans="1:5" x14ac:dyDescent="0.2">
      <c r="A690" s="85"/>
      <c r="B690" s="62"/>
      <c r="C690" s="64"/>
      <c r="D690" s="64"/>
      <c r="E690" s="64"/>
    </row>
    <row r="691" spans="1:5" x14ac:dyDescent="0.2">
      <c r="A691" s="85"/>
      <c r="B691" s="62"/>
      <c r="C691" s="64"/>
      <c r="D691" s="64"/>
      <c r="E691" s="64"/>
    </row>
    <row r="692" spans="1:5" x14ac:dyDescent="0.2">
      <c r="A692" s="85"/>
      <c r="B692" s="62"/>
      <c r="C692" s="64"/>
      <c r="D692" s="64"/>
      <c r="E692" s="64"/>
    </row>
    <row r="693" spans="1:5" x14ac:dyDescent="0.2">
      <c r="A693" s="85"/>
      <c r="B693" s="62"/>
      <c r="C693" s="64"/>
      <c r="D693" s="64"/>
      <c r="E693" s="64"/>
    </row>
    <row r="694" spans="1:5" x14ac:dyDescent="0.2">
      <c r="A694" s="85"/>
      <c r="B694" s="62"/>
      <c r="C694" s="64"/>
      <c r="D694" s="64"/>
      <c r="E694" s="64"/>
    </row>
    <row r="695" spans="1:5" x14ac:dyDescent="0.2">
      <c r="A695" s="85"/>
      <c r="B695" s="62"/>
      <c r="C695" s="64"/>
      <c r="D695" s="64"/>
      <c r="E695" s="64"/>
    </row>
    <row r="696" spans="1:5" x14ac:dyDescent="0.2">
      <c r="A696" s="85"/>
      <c r="B696" s="62"/>
      <c r="C696" s="64"/>
      <c r="D696" s="64"/>
      <c r="E696" s="64"/>
    </row>
    <row r="697" spans="1:5" x14ac:dyDescent="0.2">
      <c r="A697" s="85"/>
      <c r="B697" s="62"/>
      <c r="C697" s="64"/>
      <c r="D697" s="64"/>
      <c r="E697" s="64"/>
    </row>
    <row r="698" spans="1:5" x14ac:dyDescent="0.2">
      <c r="A698" s="85"/>
      <c r="B698" s="62"/>
      <c r="C698" s="64"/>
      <c r="D698" s="64"/>
      <c r="E698" s="64"/>
    </row>
    <row r="699" spans="1:5" x14ac:dyDescent="0.2">
      <c r="A699" s="85"/>
      <c r="B699" s="62"/>
      <c r="C699" s="64"/>
      <c r="D699" s="64"/>
      <c r="E699" s="64"/>
    </row>
    <row r="700" spans="1:5" x14ac:dyDescent="0.2">
      <c r="A700" s="85"/>
      <c r="B700" s="62"/>
      <c r="C700" s="64"/>
      <c r="D700" s="64"/>
      <c r="E700" s="64"/>
    </row>
    <row r="701" spans="1:5" x14ac:dyDescent="0.2">
      <c r="A701" s="85"/>
      <c r="B701" s="62"/>
      <c r="C701" s="64"/>
      <c r="D701" s="64"/>
      <c r="E701" s="64"/>
    </row>
    <row r="702" spans="1:5" x14ac:dyDescent="0.2">
      <c r="A702" s="85"/>
      <c r="B702" s="62"/>
      <c r="C702" s="64"/>
      <c r="D702" s="64"/>
      <c r="E702" s="64"/>
    </row>
    <row r="703" spans="1:5" x14ac:dyDescent="0.2">
      <c r="A703" s="85"/>
      <c r="B703" s="62"/>
      <c r="C703" s="64"/>
      <c r="D703" s="64"/>
      <c r="E703" s="64"/>
    </row>
    <row r="704" spans="1:5" x14ac:dyDescent="0.2">
      <c r="A704" s="85"/>
      <c r="B704" s="62"/>
      <c r="C704" s="64"/>
      <c r="D704" s="64"/>
      <c r="E704" s="64"/>
    </row>
    <row r="705" spans="1:5" x14ac:dyDescent="0.2">
      <c r="A705" s="85"/>
      <c r="B705" s="62"/>
      <c r="C705" s="64"/>
      <c r="D705" s="64"/>
      <c r="E705" s="64"/>
    </row>
    <row r="706" spans="1:5" x14ac:dyDescent="0.2">
      <c r="A706" s="85"/>
      <c r="B706" s="62"/>
      <c r="C706" s="64"/>
      <c r="D706" s="64"/>
      <c r="E706" s="64"/>
    </row>
    <row r="707" spans="1:5" x14ac:dyDescent="0.2">
      <c r="A707" s="85"/>
      <c r="B707" s="62"/>
      <c r="C707" s="64"/>
      <c r="D707" s="64"/>
      <c r="E707" s="64"/>
    </row>
    <row r="708" spans="1:5" x14ac:dyDescent="0.2">
      <c r="A708" s="85"/>
      <c r="B708" s="62"/>
      <c r="C708" s="64"/>
      <c r="D708" s="64"/>
      <c r="E708" s="64"/>
    </row>
    <row r="709" spans="1:5" x14ac:dyDescent="0.2">
      <c r="A709" s="85"/>
      <c r="B709" s="62"/>
      <c r="C709" s="64"/>
      <c r="D709" s="64"/>
      <c r="E709" s="64"/>
    </row>
    <row r="710" spans="1:5" x14ac:dyDescent="0.2">
      <c r="A710" s="85"/>
      <c r="B710" s="62"/>
      <c r="C710" s="64"/>
      <c r="D710" s="64"/>
      <c r="E710" s="64"/>
    </row>
    <row r="711" spans="1:5" x14ac:dyDescent="0.2">
      <c r="A711" s="85"/>
      <c r="B711" s="62"/>
      <c r="C711" s="64"/>
      <c r="D711" s="64"/>
      <c r="E711" s="64"/>
    </row>
    <row r="712" spans="1:5" x14ac:dyDescent="0.2">
      <c r="A712" s="85"/>
      <c r="B712" s="62"/>
      <c r="C712" s="64"/>
      <c r="D712" s="64"/>
      <c r="E712" s="64"/>
    </row>
    <row r="713" spans="1:5" x14ac:dyDescent="0.2">
      <c r="A713" s="85"/>
      <c r="B713" s="62"/>
      <c r="C713" s="64"/>
      <c r="D713" s="64"/>
      <c r="E713" s="64"/>
    </row>
    <row r="714" spans="1:5" x14ac:dyDescent="0.2">
      <c r="A714" s="85"/>
      <c r="B714" s="62"/>
      <c r="C714" s="64"/>
      <c r="D714" s="64"/>
      <c r="E714" s="64"/>
    </row>
    <row r="715" spans="1:5" x14ac:dyDescent="0.2">
      <c r="A715" s="85"/>
      <c r="B715" s="62"/>
      <c r="C715" s="64"/>
      <c r="D715" s="64"/>
      <c r="E715" s="64"/>
    </row>
    <row r="716" spans="1:5" x14ac:dyDescent="0.2">
      <c r="A716" s="85"/>
      <c r="B716" s="62"/>
      <c r="C716" s="64"/>
      <c r="D716" s="64"/>
      <c r="E716" s="64"/>
    </row>
    <row r="717" spans="1:5" x14ac:dyDescent="0.2">
      <c r="A717" s="85"/>
      <c r="B717" s="62"/>
      <c r="C717" s="64"/>
      <c r="D717" s="64"/>
      <c r="E717" s="64"/>
    </row>
    <row r="718" spans="1:5" x14ac:dyDescent="0.2">
      <c r="A718" s="85"/>
      <c r="B718" s="62"/>
      <c r="C718" s="64"/>
      <c r="D718" s="64"/>
      <c r="E718" s="64"/>
    </row>
    <row r="719" spans="1:5" x14ac:dyDescent="0.2">
      <c r="A719" s="85"/>
      <c r="B719" s="62"/>
      <c r="C719" s="64"/>
      <c r="D719" s="64"/>
      <c r="E719" s="64"/>
    </row>
    <row r="720" spans="1:5" x14ac:dyDescent="0.2">
      <c r="A720" s="85"/>
      <c r="B720" s="62"/>
      <c r="C720" s="64"/>
      <c r="D720" s="64"/>
      <c r="E720" s="64"/>
    </row>
    <row r="721" spans="1:5" x14ac:dyDescent="0.2">
      <c r="A721" s="85"/>
      <c r="B721" s="62"/>
      <c r="C721" s="64"/>
      <c r="D721" s="64"/>
      <c r="E721" s="64"/>
    </row>
    <row r="722" spans="1:5" x14ac:dyDescent="0.2">
      <c r="A722" s="85"/>
      <c r="B722" s="62"/>
      <c r="C722" s="64"/>
      <c r="D722" s="64"/>
      <c r="E722" s="64"/>
    </row>
    <row r="723" spans="1:5" x14ac:dyDescent="0.2">
      <c r="A723" s="85"/>
      <c r="B723" s="62"/>
      <c r="C723" s="64"/>
      <c r="D723" s="64"/>
      <c r="E723" s="64"/>
    </row>
    <row r="724" spans="1:5" x14ac:dyDescent="0.2">
      <c r="A724" s="85"/>
      <c r="B724" s="62"/>
      <c r="C724" s="64"/>
      <c r="D724" s="64"/>
      <c r="E724" s="64"/>
    </row>
    <row r="725" spans="1:5" x14ac:dyDescent="0.2">
      <c r="A725" s="85"/>
      <c r="B725" s="62"/>
      <c r="C725" s="64"/>
      <c r="D725" s="64"/>
      <c r="E725" s="64"/>
    </row>
    <row r="726" spans="1:5" x14ac:dyDescent="0.2">
      <c r="A726" s="85"/>
      <c r="B726" s="62"/>
      <c r="C726" s="64"/>
      <c r="D726" s="64"/>
      <c r="E726" s="64"/>
    </row>
    <row r="727" spans="1:5" x14ac:dyDescent="0.2">
      <c r="A727" s="85"/>
      <c r="B727" s="62"/>
      <c r="C727" s="64"/>
      <c r="D727" s="64"/>
      <c r="E727" s="64"/>
    </row>
    <row r="728" spans="1:5" x14ac:dyDescent="0.2">
      <c r="A728" s="85"/>
      <c r="B728" s="62"/>
      <c r="C728" s="64"/>
      <c r="D728" s="64"/>
      <c r="E728" s="64"/>
    </row>
    <row r="729" spans="1:5" x14ac:dyDescent="0.2">
      <c r="A729" s="85"/>
      <c r="B729" s="62"/>
      <c r="C729" s="64"/>
      <c r="D729" s="64"/>
      <c r="E729" s="64"/>
    </row>
    <row r="730" spans="1:5" x14ac:dyDescent="0.2">
      <c r="A730" s="85"/>
      <c r="B730" s="62"/>
      <c r="C730" s="64"/>
      <c r="D730" s="64"/>
      <c r="E730" s="64"/>
    </row>
    <row r="731" spans="1:5" x14ac:dyDescent="0.2">
      <c r="A731" s="85"/>
      <c r="B731" s="62"/>
      <c r="C731" s="64"/>
      <c r="D731" s="64"/>
      <c r="E731" s="64"/>
    </row>
    <row r="732" spans="1:5" x14ac:dyDescent="0.2">
      <c r="A732" s="85"/>
      <c r="B732" s="62"/>
      <c r="C732" s="64"/>
      <c r="D732" s="64"/>
      <c r="E732" s="64"/>
    </row>
    <row r="733" spans="1:5" x14ac:dyDescent="0.2">
      <c r="A733" s="85"/>
      <c r="B733" s="62"/>
      <c r="C733" s="64"/>
      <c r="D733" s="64"/>
      <c r="E733" s="64"/>
    </row>
    <row r="734" spans="1:5" x14ac:dyDescent="0.2">
      <c r="A734" s="85"/>
      <c r="B734" s="62"/>
      <c r="C734" s="64"/>
      <c r="D734" s="64"/>
      <c r="E734" s="64"/>
    </row>
    <row r="735" spans="1:5" x14ac:dyDescent="0.2">
      <c r="A735" s="85"/>
      <c r="B735" s="62"/>
      <c r="C735" s="64"/>
      <c r="D735" s="64"/>
      <c r="E735" s="64"/>
    </row>
    <row r="736" spans="1:5" x14ac:dyDescent="0.2">
      <c r="A736" s="85"/>
      <c r="B736" s="62"/>
      <c r="C736" s="64"/>
      <c r="D736" s="64"/>
      <c r="E736" s="64"/>
    </row>
    <row r="737" spans="1:5" x14ac:dyDescent="0.2">
      <c r="A737" s="85"/>
      <c r="B737" s="62"/>
      <c r="C737" s="64"/>
      <c r="D737" s="64"/>
      <c r="E737" s="64"/>
    </row>
    <row r="738" spans="1:5" x14ac:dyDescent="0.2">
      <c r="A738" s="85"/>
      <c r="B738" s="62"/>
      <c r="C738" s="64"/>
      <c r="D738" s="64"/>
      <c r="E738" s="64"/>
    </row>
    <row r="739" spans="1:5" x14ac:dyDescent="0.2">
      <c r="A739" s="85"/>
      <c r="B739" s="62"/>
      <c r="C739" s="64"/>
      <c r="D739" s="64"/>
      <c r="E739" s="64"/>
    </row>
    <row r="740" spans="1:5" x14ac:dyDescent="0.2">
      <c r="A740" s="85"/>
      <c r="B740" s="62"/>
      <c r="C740" s="64"/>
      <c r="D740" s="64"/>
      <c r="E740" s="64"/>
    </row>
    <row r="741" spans="1:5" x14ac:dyDescent="0.2">
      <c r="A741" s="85"/>
      <c r="B741" s="62"/>
      <c r="C741" s="64"/>
      <c r="D741" s="64"/>
      <c r="E741" s="64"/>
    </row>
    <row r="742" spans="1:5" x14ac:dyDescent="0.2">
      <c r="A742" s="85"/>
      <c r="B742" s="62"/>
      <c r="C742" s="64"/>
      <c r="D742" s="64"/>
      <c r="E742" s="64"/>
    </row>
    <row r="743" spans="1:5" x14ac:dyDescent="0.2">
      <c r="A743" s="85"/>
      <c r="B743" s="62"/>
      <c r="C743" s="64"/>
      <c r="D743" s="64"/>
      <c r="E743" s="64"/>
    </row>
    <row r="744" spans="1:5" x14ac:dyDescent="0.2">
      <c r="A744" s="85"/>
      <c r="B744" s="62"/>
      <c r="C744" s="64"/>
      <c r="D744" s="64"/>
      <c r="E744" s="64"/>
    </row>
    <row r="745" spans="1:5" x14ac:dyDescent="0.2">
      <c r="A745" s="85"/>
      <c r="B745" s="62"/>
      <c r="C745" s="64"/>
      <c r="D745" s="64"/>
      <c r="E745" s="64"/>
    </row>
    <row r="746" spans="1:5" x14ac:dyDescent="0.2">
      <c r="A746" s="85"/>
      <c r="B746" s="62"/>
      <c r="C746" s="64"/>
      <c r="D746" s="64"/>
      <c r="E746" s="64"/>
    </row>
    <row r="747" spans="1:5" x14ac:dyDescent="0.2">
      <c r="A747" s="85"/>
      <c r="B747" s="62"/>
      <c r="C747" s="64"/>
      <c r="D747" s="64"/>
      <c r="E747" s="64"/>
    </row>
    <row r="748" spans="1:5" x14ac:dyDescent="0.2">
      <c r="A748" s="85"/>
      <c r="B748" s="62"/>
      <c r="C748" s="64"/>
      <c r="D748" s="64"/>
      <c r="E748" s="64"/>
    </row>
    <row r="749" spans="1:5" x14ac:dyDescent="0.2">
      <c r="A749" s="85"/>
      <c r="B749" s="62"/>
      <c r="C749" s="64"/>
      <c r="D749" s="64"/>
      <c r="E749" s="64"/>
    </row>
    <row r="750" spans="1:5" x14ac:dyDescent="0.2">
      <c r="A750" s="85"/>
      <c r="B750" s="62"/>
      <c r="C750" s="64"/>
      <c r="D750" s="64"/>
      <c r="E750" s="64"/>
    </row>
    <row r="751" spans="1:5" x14ac:dyDescent="0.2">
      <c r="A751" s="85"/>
      <c r="B751" s="62"/>
      <c r="C751" s="64"/>
      <c r="D751" s="64"/>
      <c r="E751" s="64"/>
    </row>
    <row r="752" spans="1:5" x14ac:dyDescent="0.2">
      <c r="A752" s="85"/>
      <c r="B752" s="62"/>
      <c r="C752" s="64"/>
      <c r="D752" s="64"/>
      <c r="E752" s="64"/>
    </row>
    <row r="753" spans="1:5" x14ac:dyDescent="0.2">
      <c r="A753" s="85"/>
      <c r="B753" s="62"/>
      <c r="C753" s="64"/>
      <c r="D753" s="64"/>
      <c r="E753" s="64"/>
    </row>
    <row r="754" spans="1:5" x14ac:dyDescent="0.2">
      <c r="A754" s="85"/>
      <c r="B754" s="62"/>
      <c r="C754" s="64"/>
      <c r="D754" s="64"/>
      <c r="E754" s="64"/>
    </row>
    <row r="755" spans="1:5" x14ac:dyDescent="0.2">
      <c r="A755" s="85"/>
      <c r="B755" s="62"/>
      <c r="C755" s="64"/>
      <c r="D755" s="64"/>
      <c r="E755" s="64"/>
    </row>
    <row r="756" spans="1:5" x14ac:dyDescent="0.2">
      <c r="A756" s="85"/>
      <c r="B756" s="62"/>
      <c r="C756" s="64"/>
      <c r="D756" s="64"/>
      <c r="E756" s="64"/>
    </row>
    <row r="757" spans="1:5" x14ac:dyDescent="0.2">
      <c r="A757" s="85"/>
      <c r="B757" s="62"/>
      <c r="C757" s="64"/>
      <c r="D757" s="64"/>
      <c r="E757" s="64"/>
    </row>
    <row r="758" spans="1:5" x14ac:dyDescent="0.2">
      <c r="A758" s="85"/>
      <c r="B758" s="62"/>
      <c r="C758" s="64"/>
      <c r="D758" s="64"/>
      <c r="E758" s="64"/>
    </row>
    <row r="759" spans="1:5" x14ac:dyDescent="0.2">
      <c r="A759" s="85"/>
      <c r="B759" s="62"/>
      <c r="C759" s="64"/>
      <c r="D759" s="64"/>
      <c r="E759" s="64"/>
    </row>
    <row r="760" spans="1:5" x14ac:dyDescent="0.2">
      <c r="A760" s="85"/>
      <c r="B760" s="62"/>
      <c r="C760" s="64"/>
      <c r="D760" s="64"/>
      <c r="E760" s="64"/>
    </row>
    <row r="761" spans="1:5" x14ac:dyDescent="0.2">
      <c r="A761" s="85"/>
      <c r="B761" s="62"/>
      <c r="C761" s="64"/>
      <c r="D761" s="64"/>
      <c r="E761" s="64"/>
    </row>
    <row r="762" spans="1:5" x14ac:dyDescent="0.2">
      <c r="A762" s="85"/>
      <c r="B762" s="62"/>
      <c r="C762" s="64"/>
      <c r="D762" s="64"/>
      <c r="E762" s="64"/>
    </row>
    <row r="763" spans="1:5" x14ac:dyDescent="0.2">
      <c r="A763" s="85"/>
      <c r="B763" s="62"/>
      <c r="C763" s="64"/>
      <c r="D763" s="64"/>
      <c r="E763" s="64"/>
    </row>
    <row r="764" spans="1:5" x14ac:dyDescent="0.2">
      <c r="A764" s="85"/>
      <c r="B764" s="62"/>
      <c r="C764" s="64"/>
      <c r="D764" s="64"/>
      <c r="E764" s="64"/>
    </row>
    <row r="765" spans="1:5" x14ac:dyDescent="0.2">
      <c r="A765" s="85"/>
      <c r="B765" s="62"/>
      <c r="C765" s="64"/>
      <c r="D765" s="64"/>
      <c r="E765" s="64"/>
    </row>
    <row r="766" spans="1:5" x14ac:dyDescent="0.2">
      <c r="A766" s="85"/>
      <c r="B766" s="62"/>
      <c r="C766" s="64"/>
      <c r="D766" s="64"/>
      <c r="E766" s="64"/>
    </row>
    <row r="767" spans="1:5" x14ac:dyDescent="0.2">
      <c r="A767" s="85"/>
      <c r="B767" s="62"/>
      <c r="C767" s="64"/>
      <c r="D767" s="64"/>
      <c r="E767" s="64"/>
    </row>
    <row r="768" spans="1:5" x14ac:dyDescent="0.2">
      <c r="A768" s="85"/>
      <c r="B768" s="62"/>
      <c r="C768" s="64"/>
      <c r="D768" s="64"/>
      <c r="E768" s="64"/>
    </row>
    <row r="769" spans="1:5" x14ac:dyDescent="0.2">
      <c r="A769" s="85"/>
      <c r="B769" s="62"/>
      <c r="C769" s="64"/>
      <c r="D769" s="64"/>
      <c r="E769" s="64"/>
    </row>
    <row r="770" spans="1:5" x14ac:dyDescent="0.2">
      <c r="A770" s="85"/>
      <c r="B770" s="62"/>
      <c r="C770" s="64"/>
      <c r="D770" s="64"/>
      <c r="E770" s="64"/>
    </row>
    <row r="771" spans="1:5" x14ac:dyDescent="0.2">
      <c r="A771" s="85"/>
      <c r="B771" s="62"/>
      <c r="C771" s="64"/>
      <c r="D771" s="64"/>
      <c r="E771" s="64"/>
    </row>
    <row r="772" spans="1:5" x14ac:dyDescent="0.2">
      <c r="A772" s="85"/>
      <c r="B772" s="62"/>
      <c r="C772" s="64"/>
      <c r="D772" s="64"/>
      <c r="E772" s="64"/>
    </row>
    <row r="773" spans="1:5" x14ac:dyDescent="0.2">
      <c r="A773" s="85"/>
      <c r="B773" s="62"/>
      <c r="C773" s="64"/>
      <c r="D773" s="64"/>
      <c r="E773" s="64"/>
    </row>
    <row r="774" spans="1:5" x14ac:dyDescent="0.2">
      <c r="A774" s="85"/>
      <c r="B774" s="62"/>
      <c r="C774" s="64"/>
      <c r="D774" s="64"/>
      <c r="E774" s="64"/>
    </row>
    <row r="775" spans="1:5" x14ac:dyDescent="0.2">
      <c r="A775" s="85"/>
      <c r="B775" s="62"/>
      <c r="C775" s="64"/>
      <c r="D775" s="64"/>
      <c r="E775" s="64"/>
    </row>
    <row r="776" spans="1:5" x14ac:dyDescent="0.2">
      <c r="A776" s="85"/>
      <c r="B776" s="62"/>
      <c r="C776" s="64"/>
      <c r="D776" s="64"/>
      <c r="E776" s="64"/>
    </row>
    <row r="777" spans="1:5" x14ac:dyDescent="0.2">
      <c r="A777" s="85"/>
      <c r="B777" s="62"/>
      <c r="C777" s="64"/>
      <c r="D777" s="64"/>
      <c r="E777" s="64"/>
    </row>
    <row r="778" spans="1:5" x14ac:dyDescent="0.2">
      <c r="A778" s="85"/>
      <c r="B778" s="62"/>
      <c r="C778" s="64"/>
      <c r="D778" s="64"/>
      <c r="E778" s="64"/>
    </row>
    <row r="779" spans="1:5" x14ac:dyDescent="0.2">
      <c r="A779" s="85"/>
      <c r="B779" s="62"/>
      <c r="C779" s="64"/>
      <c r="D779" s="64"/>
      <c r="E779" s="64"/>
    </row>
    <row r="780" spans="1:5" x14ac:dyDescent="0.2">
      <c r="A780" s="85"/>
      <c r="B780" s="62"/>
      <c r="C780" s="64"/>
      <c r="D780" s="64"/>
      <c r="E780" s="64"/>
    </row>
    <row r="781" spans="1:5" x14ac:dyDescent="0.2">
      <c r="A781" s="85"/>
      <c r="B781" s="62"/>
      <c r="C781" s="64"/>
      <c r="D781" s="64"/>
      <c r="E781" s="64"/>
    </row>
    <row r="782" spans="1:5" x14ac:dyDescent="0.2">
      <c r="A782" s="85"/>
      <c r="B782" s="62"/>
      <c r="C782" s="64"/>
      <c r="D782" s="64"/>
      <c r="E782" s="64"/>
    </row>
    <row r="783" spans="1:5" x14ac:dyDescent="0.2">
      <c r="A783" s="85"/>
      <c r="B783" s="62"/>
      <c r="C783" s="64"/>
      <c r="D783" s="64"/>
      <c r="E783" s="64"/>
    </row>
    <row r="784" spans="1:5" x14ac:dyDescent="0.2">
      <c r="A784" s="85"/>
      <c r="B784" s="62"/>
      <c r="C784" s="64"/>
      <c r="D784" s="64"/>
      <c r="E784" s="64"/>
    </row>
    <row r="785" spans="1:5" x14ac:dyDescent="0.2">
      <c r="A785" s="85"/>
      <c r="B785" s="62"/>
      <c r="C785" s="64"/>
      <c r="D785" s="64"/>
      <c r="E785" s="64"/>
    </row>
    <row r="786" spans="1:5" x14ac:dyDescent="0.2">
      <c r="A786" s="85"/>
      <c r="B786" s="62"/>
      <c r="C786" s="64"/>
      <c r="D786" s="64"/>
      <c r="E786" s="64"/>
    </row>
    <row r="787" spans="1:5" x14ac:dyDescent="0.2">
      <c r="A787" s="85"/>
      <c r="B787" s="62"/>
      <c r="C787" s="64"/>
      <c r="D787" s="64"/>
      <c r="E787" s="64"/>
    </row>
    <row r="788" spans="1:5" x14ac:dyDescent="0.2">
      <c r="A788" s="85"/>
      <c r="B788" s="62"/>
      <c r="C788" s="64"/>
      <c r="D788" s="64"/>
      <c r="E788" s="64"/>
    </row>
    <row r="789" spans="1:5" x14ac:dyDescent="0.2">
      <c r="A789" s="85"/>
      <c r="B789" s="62"/>
      <c r="C789" s="64"/>
      <c r="D789" s="64"/>
      <c r="E789" s="64"/>
    </row>
    <row r="790" spans="1:5" x14ac:dyDescent="0.2">
      <c r="A790" s="85"/>
      <c r="B790" s="62"/>
      <c r="C790" s="64"/>
      <c r="D790" s="64"/>
      <c r="E790" s="64"/>
    </row>
    <row r="791" spans="1:5" x14ac:dyDescent="0.2">
      <c r="A791" s="85"/>
      <c r="B791" s="62"/>
      <c r="C791" s="64"/>
      <c r="D791" s="64"/>
      <c r="E791" s="64"/>
    </row>
    <row r="792" spans="1:5" x14ac:dyDescent="0.2">
      <c r="A792" s="85"/>
      <c r="B792" s="62"/>
      <c r="C792" s="64"/>
      <c r="D792" s="64"/>
      <c r="E792" s="64"/>
    </row>
    <row r="793" spans="1:5" x14ac:dyDescent="0.2">
      <c r="A793" s="85"/>
      <c r="B793" s="62"/>
      <c r="C793" s="64"/>
      <c r="D793" s="64"/>
      <c r="E793" s="64"/>
    </row>
    <row r="794" spans="1:5" x14ac:dyDescent="0.2">
      <c r="A794" s="85"/>
      <c r="B794" s="62"/>
      <c r="C794" s="64"/>
      <c r="D794" s="64"/>
      <c r="E794" s="64"/>
    </row>
    <row r="795" spans="1:5" x14ac:dyDescent="0.2">
      <c r="A795" s="85"/>
      <c r="B795" s="62"/>
      <c r="C795" s="64"/>
      <c r="D795" s="64"/>
      <c r="E795" s="64"/>
    </row>
    <row r="796" spans="1:5" x14ac:dyDescent="0.2">
      <c r="A796" s="85"/>
      <c r="B796" s="62"/>
      <c r="C796" s="64"/>
      <c r="D796" s="64"/>
      <c r="E796" s="64"/>
    </row>
    <row r="797" spans="1:5" x14ac:dyDescent="0.2">
      <c r="A797" s="85"/>
      <c r="B797" s="62"/>
      <c r="C797" s="64"/>
      <c r="D797" s="64"/>
      <c r="E797" s="64"/>
    </row>
    <row r="798" spans="1:5" x14ac:dyDescent="0.2">
      <c r="A798" s="85"/>
      <c r="B798" s="62"/>
      <c r="C798" s="64"/>
      <c r="D798" s="64"/>
      <c r="E798" s="64"/>
    </row>
    <row r="799" spans="1:5" x14ac:dyDescent="0.2">
      <c r="A799" s="85"/>
      <c r="B799" s="62"/>
      <c r="C799" s="64"/>
      <c r="D799" s="64"/>
      <c r="E799" s="64"/>
    </row>
    <row r="800" spans="1:5" x14ac:dyDescent="0.2">
      <c r="A800" s="85"/>
      <c r="B800" s="62"/>
      <c r="C800" s="64"/>
      <c r="D800" s="64"/>
      <c r="E800" s="64"/>
    </row>
    <row r="801" spans="1:5" x14ac:dyDescent="0.2">
      <c r="A801" s="85"/>
      <c r="B801" s="62"/>
      <c r="C801" s="64"/>
      <c r="D801" s="64"/>
      <c r="E801" s="64"/>
    </row>
    <row r="802" spans="1:5" x14ac:dyDescent="0.2">
      <c r="A802" s="85"/>
      <c r="B802" s="62"/>
      <c r="C802" s="64"/>
      <c r="D802" s="64"/>
      <c r="E802" s="64"/>
    </row>
    <row r="803" spans="1:5" x14ac:dyDescent="0.2">
      <c r="A803" s="85"/>
      <c r="B803" s="62"/>
      <c r="C803" s="64"/>
      <c r="D803" s="64"/>
      <c r="E803" s="64"/>
    </row>
    <row r="804" spans="1:5" x14ac:dyDescent="0.2">
      <c r="A804" s="85"/>
      <c r="B804" s="62"/>
      <c r="C804" s="64"/>
      <c r="D804" s="64"/>
      <c r="E804" s="64"/>
    </row>
    <row r="805" spans="1:5" x14ac:dyDescent="0.2">
      <c r="A805" s="85"/>
      <c r="B805" s="62"/>
      <c r="C805" s="64"/>
      <c r="D805" s="64"/>
      <c r="E805" s="64"/>
    </row>
    <row r="806" spans="1:5" x14ac:dyDescent="0.2">
      <c r="A806" s="85"/>
      <c r="B806" s="62"/>
      <c r="C806" s="64"/>
      <c r="D806" s="64"/>
      <c r="E806" s="64"/>
    </row>
    <row r="807" spans="1:5" x14ac:dyDescent="0.2">
      <c r="A807" s="85"/>
      <c r="B807" s="62"/>
      <c r="C807" s="64"/>
      <c r="D807" s="64"/>
      <c r="E807" s="64"/>
    </row>
    <row r="808" spans="1:5" x14ac:dyDescent="0.2">
      <c r="A808" s="85"/>
      <c r="B808" s="62"/>
      <c r="C808" s="64"/>
      <c r="D808" s="64"/>
      <c r="E808" s="64"/>
    </row>
    <row r="809" spans="1:5" x14ac:dyDescent="0.2">
      <c r="A809" s="85"/>
      <c r="B809" s="62"/>
      <c r="C809" s="64"/>
      <c r="D809" s="64"/>
      <c r="E809" s="64"/>
    </row>
    <row r="810" spans="1:5" x14ac:dyDescent="0.2">
      <c r="A810" s="85"/>
      <c r="B810" s="62"/>
      <c r="C810" s="64"/>
      <c r="D810" s="64"/>
      <c r="E810" s="64"/>
    </row>
    <row r="811" spans="1:5" x14ac:dyDescent="0.2">
      <c r="A811" s="85"/>
      <c r="B811" s="62"/>
      <c r="C811" s="64"/>
      <c r="D811" s="64"/>
      <c r="E811" s="64"/>
    </row>
    <row r="812" spans="1:5" x14ac:dyDescent="0.2">
      <c r="A812" s="85"/>
      <c r="B812" s="62"/>
      <c r="C812" s="64"/>
      <c r="D812" s="64"/>
      <c r="E812" s="64"/>
    </row>
    <row r="813" spans="1:5" x14ac:dyDescent="0.2">
      <c r="A813" s="85"/>
      <c r="B813" s="62"/>
      <c r="C813" s="64"/>
      <c r="D813" s="64"/>
      <c r="E813" s="64"/>
    </row>
    <row r="814" spans="1:5" x14ac:dyDescent="0.2">
      <c r="A814" s="85"/>
      <c r="B814" s="62"/>
      <c r="C814" s="64"/>
      <c r="D814" s="64"/>
      <c r="E814" s="64"/>
    </row>
    <row r="815" spans="1:5" x14ac:dyDescent="0.2">
      <c r="A815" s="85"/>
      <c r="B815" s="62"/>
      <c r="C815" s="64"/>
      <c r="D815" s="64"/>
      <c r="E815" s="64"/>
    </row>
    <row r="816" spans="1:5" x14ac:dyDescent="0.2">
      <c r="A816" s="85"/>
      <c r="B816" s="62"/>
      <c r="C816" s="64"/>
      <c r="D816" s="64"/>
      <c r="E816" s="64"/>
    </row>
    <row r="817" spans="1:5" x14ac:dyDescent="0.2">
      <c r="A817" s="85"/>
      <c r="B817" s="62"/>
      <c r="C817" s="64"/>
      <c r="D817" s="64"/>
      <c r="E817" s="64"/>
    </row>
    <row r="818" spans="1:5" x14ac:dyDescent="0.2">
      <c r="A818" s="85"/>
      <c r="B818" s="62"/>
      <c r="C818" s="64"/>
      <c r="D818" s="64"/>
      <c r="E818" s="64"/>
    </row>
    <row r="819" spans="1:5" x14ac:dyDescent="0.2">
      <c r="A819" s="85"/>
      <c r="B819" s="62"/>
      <c r="C819" s="64"/>
      <c r="D819" s="64"/>
      <c r="E819" s="64"/>
    </row>
    <row r="820" spans="1:5" x14ac:dyDescent="0.2">
      <c r="A820" s="85"/>
      <c r="B820" s="62"/>
      <c r="C820" s="64"/>
      <c r="D820" s="64"/>
      <c r="E820" s="64"/>
    </row>
    <row r="821" spans="1:5" x14ac:dyDescent="0.2">
      <c r="A821" s="85"/>
      <c r="B821" s="62"/>
      <c r="C821" s="64"/>
      <c r="D821" s="64"/>
      <c r="E821" s="64"/>
    </row>
    <row r="822" spans="1:5" x14ac:dyDescent="0.2">
      <c r="A822" s="85"/>
      <c r="B822" s="62"/>
      <c r="C822" s="64"/>
      <c r="D822" s="64"/>
      <c r="E822" s="64"/>
    </row>
    <row r="823" spans="1:5" x14ac:dyDescent="0.2">
      <c r="A823" s="85"/>
      <c r="B823" s="62"/>
      <c r="C823" s="64"/>
      <c r="D823" s="64"/>
      <c r="E823" s="64"/>
    </row>
    <row r="824" spans="1:5" x14ac:dyDescent="0.2">
      <c r="A824" s="85"/>
      <c r="B824" s="62"/>
      <c r="C824" s="64"/>
      <c r="D824" s="64"/>
      <c r="E824" s="64"/>
    </row>
    <row r="825" spans="1:5" x14ac:dyDescent="0.2">
      <c r="A825" s="85"/>
      <c r="B825" s="62"/>
      <c r="C825" s="64"/>
      <c r="D825" s="64"/>
      <c r="E825" s="64"/>
    </row>
    <row r="826" spans="1:5" x14ac:dyDescent="0.2">
      <c r="A826" s="85"/>
      <c r="B826" s="62"/>
      <c r="C826" s="64"/>
      <c r="D826" s="64"/>
      <c r="E826" s="64"/>
    </row>
    <row r="827" spans="1:5" x14ac:dyDescent="0.2">
      <c r="A827" s="85"/>
      <c r="B827" s="62"/>
      <c r="C827" s="64"/>
      <c r="D827" s="64"/>
      <c r="E827" s="64"/>
    </row>
    <row r="828" spans="1:5" x14ac:dyDescent="0.2">
      <c r="A828" s="85"/>
      <c r="B828" s="62"/>
      <c r="C828" s="64"/>
      <c r="D828" s="64"/>
      <c r="E828" s="64"/>
    </row>
    <row r="829" spans="1:5" x14ac:dyDescent="0.2">
      <c r="A829" s="85"/>
      <c r="B829" s="62"/>
      <c r="C829" s="64"/>
      <c r="D829" s="64"/>
      <c r="E829" s="64"/>
    </row>
    <row r="830" spans="1:5" x14ac:dyDescent="0.2">
      <c r="A830" s="85"/>
      <c r="B830" s="62"/>
      <c r="C830" s="64"/>
      <c r="D830" s="64"/>
      <c r="E830" s="64"/>
    </row>
    <row r="831" spans="1:5" x14ac:dyDescent="0.2">
      <c r="A831" s="85"/>
      <c r="B831" s="62"/>
      <c r="C831" s="64"/>
      <c r="D831" s="64"/>
      <c r="E831" s="64"/>
    </row>
    <row r="832" spans="1:5" x14ac:dyDescent="0.2">
      <c r="A832" s="85"/>
      <c r="B832" s="62"/>
      <c r="C832" s="64"/>
      <c r="D832" s="64"/>
      <c r="E832" s="64"/>
    </row>
    <row r="833" spans="1:5" x14ac:dyDescent="0.2">
      <c r="A833" s="85"/>
      <c r="B833" s="62"/>
      <c r="C833" s="64"/>
      <c r="D833" s="64"/>
      <c r="E833" s="64"/>
    </row>
    <row r="834" spans="1:5" x14ac:dyDescent="0.2">
      <c r="A834" s="85"/>
      <c r="B834" s="62"/>
      <c r="C834" s="64"/>
      <c r="D834" s="64"/>
      <c r="E834" s="64"/>
    </row>
    <row r="835" spans="1:5" x14ac:dyDescent="0.2">
      <c r="A835" s="85"/>
      <c r="B835" s="62"/>
      <c r="C835" s="64"/>
      <c r="D835" s="64"/>
      <c r="E835" s="64"/>
    </row>
    <row r="836" spans="1:5" x14ac:dyDescent="0.2">
      <c r="A836" s="85"/>
      <c r="B836" s="62"/>
      <c r="C836" s="64"/>
      <c r="D836" s="64"/>
      <c r="E836" s="64"/>
    </row>
    <row r="837" spans="1:5" x14ac:dyDescent="0.2">
      <c r="A837" s="85"/>
      <c r="B837" s="62"/>
      <c r="C837" s="64"/>
      <c r="D837" s="64"/>
      <c r="E837" s="64"/>
    </row>
    <row r="838" spans="1:5" x14ac:dyDescent="0.2">
      <c r="A838" s="85"/>
      <c r="B838" s="62"/>
      <c r="C838" s="64"/>
      <c r="D838" s="64"/>
      <c r="E838" s="64"/>
    </row>
    <row r="839" spans="1:5" x14ac:dyDescent="0.2">
      <c r="A839" s="85"/>
      <c r="B839" s="62"/>
      <c r="C839" s="64"/>
      <c r="D839" s="64"/>
      <c r="E839" s="64"/>
    </row>
    <row r="840" spans="1:5" x14ac:dyDescent="0.2">
      <c r="A840" s="85"/>
      <c r="B840" s="62"/>
      <c r="C840" s="64"/>
      <c r="D840" s="64"/>
      <c r="E840" s="64"/>
    </row>
    <row r="841" spans="1:5" x14ac:dyDescent="0.2">
      <c r="A841" s="85"/>
      <c r="B841" s="62"/>
      <c r="C841" s="64"/>
      <c r="D841" s="64"/>
      <c r="E841" s="64"/>
    </row>
    <row r="842" spans="1:5" x14ac:dyDescent="0.2">
      <c r="A842" s="85"/>
      <c r="B842" s="62"/>
      <c r="C842" s="64"/>
      <c r="D842" s="64"/>
      <c r="E842" s="64"/>
    </row>
    <row r="843" spans="1:5" x14ac:dyDescent="0.2">
      <c r="A843" s="85"/>
      <c r="B843" s="62"/>
      <c r="C843" s="64"/>
      <c r="D843" s="64"/>
      <c r="E843" s="64"/>
    </row>
    <row r="844" spans="1:5" x14ac:dyDescent="0.2">
      <c r="A844" s="85"/>
      <c r="B844" s="62"/>
      <c r="C844" s="64"/>
      <c r="D844" s="64"/>
      <c r="E844" s="64"/>
    </row>
    <row r="845" spans="1:5" x14ac:dyDescent="0.2">
      <c r="A845" s="85"/>
      <c r="B845" s="62"/>
      <c r="C845" s="64"/>
      <c r="D845" s="64"/>
      <c r="E845" s="64"/>
    </row>
    <row r="846" spans="1:5" x14ac:dyDescent="0.2">
      <c r="A846" s="85"/>
      <c r="B846" s="62"/>
      <c r="C846" s="64"/>
      <c r="D846" s="64"/>
      <c r="E846" s="64"/>
    </row>
    <row r="847" spans="1:5" x14ac:dyDescent="0.2">
      <c r="A847" s="85"/>
      <c r="B847" s="62"/>
      <c r="C847" s="64"/>
      <c r="D847" s="64"/>
      <c r="E847" s="64"/>
    </row>
    <row r="848" spans="1:5" x14ac:dyDescent="0.2">
      <c r="A848" s="85"/>
      <c r="B848" s="62"/>
      <c r="C848" s="64"/>
      <c r="D848" s="64"/>
      <c r="E848" s="64"/>
    </row>
    <row r="849" spans="1:5" x14ac:dyDescent="0.2">
      <c r="A849" s="85"/>
      <c r="B849" s="62"/>
      <c r="C849" s="64"/>
      <c r="D849" s="64"/>
      <c r="E849" s="64"/>
    </row>
    <row r="850" spans="1:5" x14ac:dyDescent="0.2">
      <c r="A850" s="85"/>
      <c r="B850" s="62"/>
      <c r="C850" s="64"/>
      <c r="D850" s="64"/>
      <c r="E850" s="64"/>
    </row>
    <row r="851" spans="1:5" x14ac:dyDescent="0.2">
      <c r="A851" s="85"/>
      <c r="B851" s="62"/>
      <c r="C851" s="64"/>
      <c r="D851" s="64"/>
      <c r="E851" s="64"/>
    </row>
    <row r="852" spans="1:5" x14ac:dyDescent="0.2">
      <c r="A852" s="85"/>
      <c r="B852" s="62"/>
      <c r="C852" s="64"/>
      <c r="D852" s="64"/>
      <c r="E852" s="64"/>
    </row>
    <row r="853" spans="1:5" x14ac:dyDescent="0.2">
      <c r="A853" s="85"/>
      <c r="B853" s="62"/>
      <c r="C853" s="64"/>
      <c r="D853" s="64"/>
      <c r="E853" s="64"/>
    </row>
    <row r="854" spans="1:5" x14ac:dyDescent="0.2">
      <c r="A854" s="85"/>
      <c r="B854" s="62"/>
      <c r="C854" s="64"/>
      <c r="D854" s="64"/>
      <c r="E854" s="64"/>
    </row>
    <row r="855" spans="1:5" x14ac:dyDescent="0.2">
      <c r="A855" s="85"/>
      <c r="B855" s="62"/>
      <c r="C855" s="64"/>
      <c r="D855" s="64"/>
      <c r="E855" s="64"/>
    </row>
    <row r="856" spans="1:5" x14ac:dyDescent="0.2">
      <c r="A856" s="85"/>
      <c r="B856" s="62"/>
      <c r="C856" s="64"/>
      <c r="D856" s="64"/>
      <c r="E856" s="64"/>
    </row>
    <row r="857" spans="1:5" x14ac:dyDescent="0.2">
      <c r="A857" s="85"/>
      <c r="B857" s="62"/>
      <c r="C857" s="64"/>
      <c r="D857" s="64"/>
      <c r="E857" s="64"/>
    </row>
    <row r="858" spans="1:5" x14ac:dyDescent="0.2">
      <c r="A858" s="85"/>
      <c r="B858" s="62"/>
      <c r="C858" s="64"/>
      <c r="D858" s="64"/>
      <c r="E858" s="64"/>
    </row>
    <row r="859" spans="1:5" x14ac:dyDescent="0.2">
      <c r="A859" s="85"/>
      <c r="B859" s="62"/>
      <c r="C859" s="64"/>
      <c r="D859" s="64"/>
      <c r="E859" s="64"/>
    </row>
    <row r="860" spans="1:5" x14ac:dyDescent="0.2">
      <c r="A860" s="85"/>
      <c r="B860" s="62"/>
      <c r="C860" s="64"/>
      <c r="D860" s="64"/>
      <c r="E860" s="64"/>
    </row>
    <row r="861" spans="1:5" x14ac:dyDescent="0.2">
      <c r="A861" s="85"/>
      <c r="B861" s="62"/>
      <c r="C861" s="64"/>
      <c r="D861" s="64"/>
      <c r="E861" s="64"/>
    </row>
    <row r="862" spans="1:5" x14ac:dyDescent="0.2">
      <c r="A862" s="85"/>
      <c r="B862" s="62"/>
      <c r="C862" s="64"/>
      <c r="D862" s="64"/>
      <c r="E862" s="64"/>
    </row>
    <row r="863" spans="1:5" x14ac:dyDescent="0.2">
      <c r="A863" s="85"/>
      <c r="B863" s="62"/>
      <c r="C863" s="64"/>
      <c r="D863" s="64"/>
      <c r="E863" s="64"/>
    </row>
    <row r="864" spans="1:5" x14ac:dyDescent="0.2">
      <c r="A864" s="85"/>
      <c r="B864" s="62"/>
      <c r="C864" s="64"/>
      <c r="D864" s="64"/>
      <c r="E864" s="64"/>
    </row>
    <row r="865" spans="1:5" x14ac:dyDescent="0.2">
      <c r="A865" s="85"/>
      <c r="B865" s="62"/>
      <c r="C865" s="64"/>
      <c r="D865" s="64"/>
      <c r="E865" s="64"/>
    </row>
    <row r="866" spans="1:5" x14ac:dyDescent="0.2">
      <c r="A866" s="85"/>
      <c r="B866" s="62"/>
      <c r="C866" s="64"/>
      <c r="D866" s="64"/>
      <c r="E866" s="64"/>
    </row>
    <row r="867" spans="1:5" x14ac:dyDescent="0.2">
      <c r="A867" s="85"/>
      <c r="B867" s="62"/>
      <c r="C867" s="64"/>
      <c r="D867" s="64"/>
      <c r="E867" s="64"/>
    </row>
    <row r="868" spans="1:5" x14ac:dyDescent="0.2">
      <c r="A868" s="85"/>
      <c r="B868" s="62"/>
      <c r="C868" s="64"/>
      <c r="D868" s="64"/>
      <c r="E868" s="64"/>
    </row>
    <row r="869" spans="1:5" x14ac:dyDescent="0.2">
      <c r="A869" s="85"/>
      <c r="B869" s="62"/>
      <c r="C869" s="64"/>
      <c r="D869" s="64"/>
      <c r="E869" s="64"/>
    </row>
    <row r="870" spans="1:5" x14ac:dyDescent="0.2">
      <c r="A870" s="85"/>
      <c r="B870" s="62"/>
      <c r="C870" s="64"/>
      <c r="D870" s="64"/>
      <c r="E870" s="64"/>
    </row>
    <row r="871" spans="1:5" x14ac:dyDescent="0.2">
      <c r="A871" s="85"/>
      <c r="B871" s="62"/>
      <c r="C871" s="64"/>
      <c r="D871" s="64"/>
      <c r="E871" s="64"/>
    </row>
    <row r="872" spans="1:5" x14ac:dyDescent="0.2">
      <c r="A872" s="85"/>
      <c r="B872" s="62"/>
      <c r="C872" s="64"/>
      <c r="D872" s="64"/>
      <c r="E872" s="64"/>
    </row>
    <row r="873" spans="1:5" x14ac:dyDescent="0.2">
      <c r="A873" s="85"/>
      <c r="B873" s="62"/>
      <c r="C873" s="64"/>
      <c r="D873" s="64"/>
      <c r="E873" s="64"/>
    </row>
    <row r="874" spans="1:5" x14ac:dyDescent="0.2">
      <c r="A874" s="85"/>
      <c r="B874" s="62"/>
      <c r="C874" s="64"/>
      <c r="D874" s="64"/>
      <c r="E874" s="64"/>
    </row>
    <row r="875" spans="1:5" x14ac:dyDescent="0.2">
      <c r="A875" s="85"/>
      <c r="B875" s="62"/>
      <c r="C875" s="64"/>
      <c r="D875" s="64"/>
      <c r="E875" s="64"/>
    </row>
    <row r="876" spans="1:5" x14ac:dyDescent="0.2">
      <c r="A876" s="85"/>
      <c r="B876" s="62"/>
      <c r="C876" s="64"/>
      <c r="D876" s="64"/>
      <c r="E876" s="64"/>
    </row>
    <row r="877" spans="1:5" x14ac:dyDescent="0.2">
      <c r="A877" s="85"/>
      <c r="B877" s="62"/>
      <c r="C877" s="64"/>
      <c r="D877" s="64"/>
      <c r="E877" s="64"/>
    </row>
    <row r="878" spans="1:5" x14ac:dyDescent="0.2">
      <c r="A878" s="85"/>
      <c r="B878" s="62"/>
      <c r="C878" s="64"/>
      <c r="D878" s="64"/>
      <c r="E878" s="64"/>
    </row>
    <row r="879" spans="1:5" x14ac:dyDescent="0.2">
      <c r="A879" s="85"/>
      <c r="B879" s="62"/>
      <c r="C879" s="64"/>
      <c r="D879" s="64"/>
      <c r="E879" s="64"/>
    </row>
    <row r="880" spans="1:5" x14ac:dyDescent="0.2">
      <c r="A880" s="85"/>
      <c r="B880" s="62"/>
      <c r="C880" s="64"/>
      <c r="D880" s="64"/>
      <c r="E880" s="64"/>
    </row>
    <row r="881" spans="1:5" x14ac:dyDescent="0.2">
      <c r="A881" s="85"/>
      <c r="B881" s="62"/>
      <c r="C881" s="64"/>
      <c r="D881" s="64"/>
      <c r="E881" s="64"/>
    </row>
    <row r="882" spans="1:5" x14ac:dyDescent="0.2">
      <c r="A882" s="85"/>
      <c r="B882" s="62"/>
      <c r="C882" s="64"/>
      <c r="D882" s="64"/>
      <c r="E882" s="64"/>
    </row>
    <row r="883" spans="1:5" x14ac:dyDescent="0.2">
      <c r="A883" s="85"/>
      <c r="B883" s="62"/>
      <c r="C883" s="64"/>
      <c r="D883" s="64"/>
      <c r="E883" s="64"/>
    </row>
    <row r="884" spans="1:5" x14ac:dyDescent="0.2">
      <c r="A884" s="85"/>
      <c r="B884" s="62"/>
      <c r="C884" s="64"/>
      <c r="D884" s="64"/>
      <c r="E884" s="64"/>
    </row>
    <row r="885" spans="1:5" x14ac:dyDescent="0.2">
      <c r="A885" s="85"/>
      <c r="B885" s="62"/>
      <c r="C885" s="64"/>
      <c r="D885" s="64"/>
      <c r="E885" s="64"/>
    </row>
    <row r="886" spans="1:5" x14ac:dyDescent="0.2">
      <c r="A886" s="85"/>
      <c r="B886" s="62"/>
      <c r="C886" s="64"/>
      <c r="D886" s="64"/>
      <c r="E886" s="64"/>
    </row>
    <row r="887" spans="1:5" x14ac:dyDescent="0.2">
      <c r="A887" s="85"/>
      <c r="B887" s="62"/>
      <c r="C887" s="64"/>
      <c r="D887" s="64"/>
      <c r="E887" s="64"/>
    </row>
    <row r="888" spans="1:5" x14ac:dyDescent="0.2">
      <c r="A888" s="85"/>
      <c r="B888" s="62"/>
      <c r="C888" s="64"/>
      <c r="D888" s="64"/>
      <c r="E888" s="64"/>
    </row>
    <row r="889" spans="1:5" x14ac:dyDescent="0.2">
      <c r="A889" s="85"/>
    </row>
    <row r="890" spans="1:5" x14ac:dyDescent="0.2">
      <c r="A890" s="85"/>
    </row>
    <row r="891" spans="1:5" x14ac:dyDescent="0.2">
      <c r="A891" s="85"/>
    </row>
    <row r="892" spans="1:5" x14ac:dyDescent="0.2">
      <c r="A892" s="85"/>
    </row>
    <row r="893" spans="1:5" x14ac:dyDescent="0.2">
      <c r="A893" s="85"/>
    </row>
    <row r="894" spans="1:5" x14ac:dyDescent="0.2">
      <c r="A894" s="85"/>
    </row>
    <row r="895" spans="1:5" x14ac:dyDescent="0.2">
      <c r="A895" s="85"/>
    </row>
    <row r="896" spans="1:5" x14ac:dyDescent="0.2">
      <c r="A896" s="85"/>
    </row>
    <row r="897" spans="1:1" x14ac:dyDescent="0.2">
      <c r="A897" s="85"/>
    </row>
    <row r="898" spans="1:1" x14ac:dyDescent="0.2">
      <c r="A898" s="85"/>
    </row>
    <row r="899" spans="1:1" x14ac:dyDescent="0.2">
      <c r="A899" s="85"/>
    </row>
    <row r="900" spans="1:1" x14ac:dyDescent="0.2">
      <c r="A900" s="85"/>
    </row>
    <row r="901" spans="1:1" x14ac:dyDescent="0.2">
      <c r="A901" s="85"/>
    </row>
    <row r="902" spans="1:1" x14ac:dyDescent="0.2">
      <c r="A902" s="85"/>
    </row>
    <row r="903" spans="1:1" x14ac:dyDescent="0.2">
      <c r="A903" s="85"/>
    </row>
    <row r="904" spans="1:1" x14ac:dyDescent="0.2">
      <c r="A904" s="85"/>
    </row>
    <row r="905" spans="1:1" x14ac:dyDescent="0.2">
      <c r="A905" s="85"/>
    </row>
    <row r="906" spans="1:1" x14ac:dyDescent="0.2">
      <c r="A906" s="85"/>
    </row>
    <row r="907" spans="1:1" x14ac:dyDescent="0.2">
      <c r="A907" s="85"/>
    </row>
    <row r="908" spans="1:1" x14ac:dyDescent="0.2">
      <c r="A908" s="85"/>
    </row>
    <row r="909" spans="1:1" x14ac:dyDescent="0.2">
      <c r="A909" s="85"/>
    </row>
    <row r="910" spans="1:1" x14ac:dyDescent="0.2">
      <c r="A910" s="85"/>
    </row>
    <row r="911" spans="1:1" x14ac:dyDescent="0.2">
      <c r="A911" s="85"/>
    </row>
    <row r="912" spans="1:1" x14ac:dyDescent="0.2">
      <c r="A912" s="85"/>
    </row>
    <row r="913" spans="1:1" x14ac:dyDescent="0.2">
      <c r="A913" s="85"/>
    </row>
    <row r="914" spans="1:1" x14ac:dyDescent="0.2">
      <c r="A914" s="85"/>
    </row>
    <row r="915" spans="1:1" x14ac:dyDescent="0.2">
      <c r="A915" s="85"/>
    </row>
    <row r="916" spans="1:1" x14ac:dyDescent="0.2">
      <c r="A916" s="85"/>
    </row>
    <row r="917" spans="1:1" x14ac:dyDescent="0.2">
      <c r="A917" s="85"/>
    </row>
    <row r="918" spans="1:1" x14ac:dyDescent="0.2">
      <c r="A918" s="85"/>
    </row>
    <row r="919" spans="1:1" x14ac:dyDescent="0.2">
      <c r="A919" s="85"/>
    </row>
    <row r="920" spans="1:1" x14ac:dyDescent="0.2">
      <c r="A920" s="85"/>
    </row>
    <row r="921" spans="1:1" x14ac:dyDescent="0.2">
      <c r="A921" s="85"/>
    </row>
    <row r="922" spans="1:1" x14ac:dyDescent="0.2">
      <c r="A922" s="85"/>
    </row>
    <row r="923" spans="1:1" x14ac:dyDescent="0.2">
      <c r="A923" s="85"/>
    </row>
    <row r="924" spans="1:1" x14ac:dyDescent="0.2">
      <c r="A924" s="85"/>
    </row>
    <row r="925" spans="1:1" x14ac:dyDescent="0.2">
      <c r="A925" s="85"/>
    </row>
    <row r="926" spans="1:1" x14ac:dyDescent="0.2">
      <c r="A926" s="85"/>
    </row>
    <row r="927" spans="1:1" x14ac:dyDescent="0.2">
      <c r="A927" s="85"/>
    </row>
    <row r="928" spans="1:1" x14ac:dyDescent="0.2">
      <c r="A928" s="85"/>
    </row>
    <row r="929" spans="1:1" x14ac:dyDescent="0.2">
      <c r="A929" s="85"/>
    </row>
    <row r="930" spans="1:1" x14ac:dyDescent="0.2">
      <c r="A930" s="85"/>
    </row>
    <row r="931" spans="1:1" x14ac:dyDescent="0.2">
      <c r="A931" s="85"/>
    </row>
    <row r="932" spans="1:1" x14ac:dyDescent="0.2">
      <c r="A932" s="85"/>
    </row>
    <row r="933" spans="1:1" x14ac:dyDescent="0.2">
      <c r="A933" s="85"/>
    </row>
    <row r="934" spans="1:1" x14ac:dyDescent="0.2">
      <c r="A934" s="85"/>
    </row>
    <row r="935" spans="1:1" x14ac:dyDescent="0.2">
      <c r="A935" s="85"/>
    </row>
    <row r="936" spans="1:1" x14ac:dyDescent="0.2">
      <c r="A936" s="85"/>
    </row>
    <row r="937" spans="1:1" x14ac:dyDescent="0.2">
      <c r="A937" s="85"/>
    </row>
    <row r="938" spans="1:1" x14ac:dyDescent="0.2">
      <c r="A938" s="85"/>
    </row>
    <row r="939" spans="1:1" x14ac:dyDescent="0.2">
      <c r="A939" s="85"/>
    </row>
    <row r="940" spans="1:1" x14ac:dyDescent="0.2">
      <c r="A940" s="85"/>
    </row>
    <row r="941" spans="1:1" x14ac:dyDescent="0.2">
      <c r="A941" s="85"/>
    </row>
    <row r="942" spans="1:1" x14ac:dyDescent="0.2">
      <c r="A942" s="85"/>
    </row>
    <row r="943" spans="1:1" x14ac:dyDescent="0.2">
      <c r="A943" s="85"/>
    </row>
    <row r="944" spans="1:1" x14ac:dyDescent="0.2">
      <c r="A944" s="85"/>
    </row>
    <row r="945" spans="1:1" x14ac:dyDescent="0.2">
      <c r="A945" s="85"/>
    </row>
    <row r="946" spans="1:1" x14ac:dyDescent="0.2">
      <c r="A946" s="85"/>
    </row>
    <row r="947" spans="1:1" x14ac:dyDescent="0.2">
      <c r="A947" s="85"/>
    </row>
    <row r="948" spans="1:1" x14ac:dyDescent="0.2">
      <c r="A948" s="85"/>
    </row>
    <row r="949" spans="1:1" x14ac:dyDescent="0.2">
      <c r="A949" s="85"/>
    </row>
    <row r="950" spans="1:1" x14ac:dyDescent="0.2">
      <c r="A950" s="85"/>
    </row>
    <row r="951" spans="1:1" x14ac:dyDescent="0.2">
      <c r="A951" s="85"/>
    </row>
    <row r="952" spans="1:1" x14ac:dyDescent="0.2">
      <c r="A952" s="85"/>
    </row>
    <row r="953" spans="1:1" x14ac:dyDescent="0.2">
      <c r="A953" s="85"/>
    </row>
    <row r="954" spans="1:1" x14ac:dyDescent="0.2">
      <c r="A954" s="85"/>
    </row>
    <row r="955" spans="1:1" x14ac:dyDescent="0.2">
      <c r="A955" s="85"/>
    </row>
    <row r="956" spans="1:1" x14ac:dyDescent="0.2">
      <c r="A956" s="85"/>
    </row>
    <row r="957" spans="1:1" x14ac:dyDescent="0.2">
      <c r="A957" s="85"/>
    </row>
    <row r="958" spans="1:1" x14ac:dyDescent="0.2">
      <c r="A958" s="85"/>
    </row>
    <row r="959" spans="1:1" x14ac:dyDescent="0.2">
      <c r="A959" s="85"/>
    </row>
    <row r="960" spans="1:1" x14ac:dyDescent="0.2">
      <c r="A960" s="85"/>
    </row>
    <row r="961" spans="1:1" x14ac:dyDescent="0.2">
      <c r="A961" s="85"/>
    </row>
    <row r="962" spans="1:1" x14ac:dyDescent="0.2">
      <c r="A962" s="85"/>
    </row>
    <row r="963" spans="1:1" x14ac:dyDescent="0.2">
      <c r="A963" s="85"/>
    </row>
    <row r="964" spans="1:1" x14ac:dyDescent="0.2">
      <c r="A964" s="85"/>
    </row>
    <row r="965" spans="1:1" x14ac:dyDescent="0.2">
      <c r="A965" s="85"/>
    </row>
    <row r="966" spans="1:1" x14ac:dyDescent="0.2">
      <c r="A966" s="85"/>
    </row>
    <row r="967" spans="1:1" x14ac:dyDescent="0.2">
      <c r="A967" s="85"/>
    </row>
    <row r="968" spans="1:1" x14ac:dyDescent="0.2">
      <c r="A968" s="85"/>
    </row>
    <row r="969" spans="1:1" x14ac:dyDescent="0.2">
      <c r="A969" s="85"/>
    </row>
    <row r="970" spans="1:1" x14ac:dyDescent="0.2">
      <c r="A970" s="85"/>
    </row>
    <row r="971" spans="1:1" x14ac:dyDescent="0.2">
      <c r="A971" s="85"/>
    </row>
    <row r="972" spans="1:1" x14ac:dyDescent="0.2">
      <c r="A972" s="85"/>
    </row>
    <row r="973" spans="1:1" x14ac:dyDescent="0.2">
      <c r="A973" s="85"/>
    </row>
    <row r="974" spans="1:1" x14ac:dyDescent="0.2">
      <c r="A974" s="85"/>
    </row>
    <row r="975" spans="1:1" x14ac:dyDescent="0.2">
      <c r="A975" s="85"/>
    </row>
    <row r="976" spans="1:1" x14ac:dyDescent="0.2">
      <c r="A976" s="85"/>
    </row>
    <row r="977" spans="1:1" x14ac:dyDescent="0.2">
      <c r="A977" s="85"/>
    </row>
    <row r="978" spans="1:1" x14ac:dyDescent="0.2">
      <c r="A978" s="85"/>
    </row>
    <row r="979" spans="1:1" x14ac:dyDescent="0.2">
      <c r="A979" s="85"/>
    </row>
    <row r="980" spans="1:1" x14ac:dyDescent="0.2">
      <c r="A980" s="85"/>
    </row>
    <row r="981" spans="1:1" x14ac:dyDescent="0.2">
      <c r="A981" s="85"/>
    </row>
    <row r="982" spans="1:1" x14ac:dyDescent="0.2">
      <c r="A982" s="85"/>
    </row>
    <row r="983" spans="1:1" x14ac:dyDescent="0.2">
      <c r="A983" s="85"/>
    </row>
    <row r="984" spans="1:1" x14ac:dyDescent="0.2">
      <c r="A984" s="85"/>
    </row>
    <row r="985" spans="1:1" x14ac:dyDescent="0.2">
      <c r="A985" s="85"/>
    </row>
    <row r="986" spans="1:1" x14ac:dyDescent="0.2">
      <c r="A986" s="85"/>
    </row>
    <row r="987" spans="1:1" x14ac:dyDescent="0.2">
      <c r="A987" s="85"/>
    </row>
    <row r="988" spans="1:1" x14ac:dyDescent="0.2">
      <c r="A988" s="85"/>
    </row>
    <row r="989" spans="1:1" x14ac:dyDescent="0.2">
      <c r="A989" s="85"/>
    </row>
    <row r="990" spans="1:1" x14ac:dyDescent="0.2">
      <c r="A990" s="85"/>
    </row>
    <row r="991" spans="1:1" x14ac:dyDescent="0.2">
      <c r="A991" s="85"/>
    </row>
    <row r="992" spans="1:1" x14ac:dyDescent="0.2">
      <c r="A992" s="85"/>
    </row>
    <row r="993" spans="1:1" x14ac:dyDescent="0.2">
      <c r="A993" s="85"/>
    </row>
    <row r="994" spans="1:1" x14ac:dyDescent="0.2">
      <c r="A994" s="85"/>
    </row>
    <row r="995" spans="1:1" x14ac:dyDescent="0.2">
      <c r="A995" s="85"/>
    </row>
    <row r="996" spans="1:1" x14ac:dyDescent="0.2">
      <c r="A996" s="85"/>
    </row>
    <row r="997" spans="1:1" x14ac:dyDescent="0.2">
      <c r="A997" s="85"/>
    </row>
    <row r="998" spans="1:1" x14ac:dyDescent="0.2">
      <c r="A998" s="85"/>
    </row>
    <row r="999" spans="1:1" x14ac:dyDescent="0.2">
      <c r="A999" s="85"/>
    </row>
    <row r="1000" spans="1:1" x14ac:dyDescent="0.2">
      <c r="A1000" s="85"/>
    </row>
    <row r="1001" spans="1:1" x14ac:dyDescent="0.2">
      <c r="A1001" s="85"/>
    </row>
    <row r="1002" spans="1:1" x14ac:dyDescent="0.2">
      <c r="A1002" s="85"/>
    </row>
    <row r="1003" spans="1:1" x14ac:dyDescent="0.2">
      <c r="A1003" s="85"/>
    </row>
    <row r="1004" spans="1:1" x14ac:dyDescent="0.2">
      <c r="A1004" s="85"/>
    </row>
    <row r="1005" spans="1:1" x14ac:dyDescent="0.2">
      <c r="A1005" s="85"/>
    </row>
    <row r="1006" spans="1:1" x14ac:dyDescent="0.2">
      <c r="A1006" s="85"/>
    </row>
    <row r="1007" spans="1:1" x14ac:dyDescent="0.2">
      <c r="A1007" s="85"/>
    </row>
    <row r="1008" spans="1:1" x14ac:dyDescent="0.2">
      <c r="A1008" s="85"/>
    </row>
    <row r="1009" spans="1:1" x14ac:dyDescent="0.2">
      <c r="A1009" s="85"/>
    </row>
    <row r="1010" spans="1:1" x14ac:dyDescent="0.2">
      <c r="A1010" s="85"/>
    </row>
    <row r="1011" spans="1:1" x14ac:dyDescent="0.2">
      <c r="A1011" s="85"/>
    </row>
    <row r="1012" spans="1:1" x14ac:dyDescent="0.2">
      <c r="A1012" s="85"/>
    </row>
    <row r="1013" spans="1:1" x14ac:dyDescent="0.2">
      <c r="A1013" s="85"/>
    </row>
    <row r="1014" spans="1:1" x14ac:dyDescent="0.2">
      <c r="A1014" s="85"/>
    </row>
    <row r="1015" spans="1:1" x14ac:dyDescent="0.2">
      <c r="A1015" s="85"/>
    </row>
    <row r="1016" spans="1:1" x14ac:dyDescent="0.2">
      <c r="A1016" s="85"/>
    </row>
    <row r="1017" spans="1:1" x14ac:dyDescent="0.2">
      <c r="A1017" s="85"/>
    </row>
    <row r="1018" spans="1:1" x14ac:dyDescent="0.2">
      <c r="A1018" s="85"/>
    </row>
    <row r="1019" spans="1:1" x14ac:dyDescent="0.2">
      <c r="A1019" s="85"/>
    </row>
    <row r="1020" spans="1:1" x14ac:dyDescent="0.2">
      <c r="A1020" s="85"/>
    </row>
    <row r="1021" spans="1:1" x14ac:dyDescent="0.2">
      <c r="A1021" s="85"/>
    </row>
    <row r="1022" spans="1:1" x14ac:dyDescent="0.2">
      <c r="A1022" s="85"/>
    </row>
    <row r="1023" spans="1:1" x14ac:dyDescent="0.2">
      <c r="A1023" s="85"/>
    </row>
    <row r="1024" spans="1:1" x14ac:dyDescent="0.2">
      <c r="A1024" s="85"/>
    </row>
    <row r="1025" spans="1:1" x14ac:dyDescent="0.2">
      <c r="A1025" s="85"/>
    </row>
    <row r="1026" spans="1:1" x14ac:dyDescent="0.2">
      <c r="A1026" s="85"/>
    </row>
    <row r="1027" spans="1:1" x14ac:dyDescent="0.2">
      <c r="A1027" s="85"/>
    </row>
    <row r="1028" spans="1:1" x14ac:dyDescent="0.2">
      <c r="A1028" s="85"/>
    </row>
    <row r="1029" spans="1:1" x14ac:dyDescent="0.2">
      <c r="A1029" s="85"/>
    </row>
    <row r="1030" spans="1:1" x14ac:dyDescent="0.2">
      <c r="A1030" s="85"/>
    </row>
    <row r="1031" spans="1:1" x14ac:dyDescent="0.2">
      <c r="A1031" s="85"/>
    </row>
    <row r="1032" spans="1:1" x14ac:dyDescent="0.2">
      <c r="A1032" s="85"/>
    </row>
    <row r="1033" spans="1:1" x14ac:dyDescent="0.2">
      <c r="A1033" s="85"/>
    </row>
    <row r="1034" spans="1:1" x14ac:dyDescent="0.2">
      <c r="A1034" s="85"/>
    </row>
    <row r="1035" spans="1:1" x14ac:dyDescent="0.2">
      <c r="A1035" s="85"/>
    </row>
    <row r="1036" spans="1:1" x14ac:dyDescent="0.2">
      <c r="A1036" s="85"/>
    </row>
    <row r="1037" spans="1:1" x14ac:dyDescent="0.2">
      <c r="A1037" s="85"/>
    </row>
    <row r="1038" spans="1:1" x14ac:dyDescent="0.2">
      <c r="A1038" s="85"/>
    </row>
    <row r="1039" spans="1:1" x14ac:dyDescent="0.2">
      <c r="A1039" s="85"/>
    </row>
    <row r="1040" spans="1:1" x14ac:dyDescent="0.2">
      <c r="A1040" s="85"/>
    </row>
    <row r="1041" spans="1:1" x14ac:dyDescent="0.2">
      <c r="A1041" s="85"/>
    </row>
    <row r="1042" spans="1:1" x14ac:dyDescent="0.2">
      <c r="A1042" s="85"/>
    </row>
    <row r="1043" spans="1:1" x14ac:dyDescent="0.2">
      <c r="A1043" s="85"/>
    </row>
    <row r="1044" spans="1:1" x14ac:dyDescent="0.2">
      <c r="A1044" s="85"/>
    </row>
    <row r="1045" spans="1:1" x14ac:dyDescent="0.2">
      <c r="A1045" s="85"/>
    </row>
    <row r="1046" spans="1:1" x14ac:dyDescent="0.2">
      <c r="A1046" s="85"/>
    </row>
    <row r="1047" spans="1:1" x14ac:dyDescent="0.2">
      <c r="A1047" s="85"/>
    </row>
    <row r="1048" spans="1:1" x14ac:dyDescent="0.2">
      <c r="A1048" s="85"/>
    </row>
    <row r="1049" spans="1:1" x14ac:dyDescent="0.2">
      <c r="A1049" s="85"/>
    </row>
    <row r="1050" spans="1:1" x14ac:dyDescent="0.2">
      <c r="A1050" s="85"/>
    </row>
    <row r="1051" spans="1:1" x14ac:dyDescent="0.2">
      <c r="A1051" s="85"/>
    </row>
    <row r="1052" spans="1:1" x14ac:dyDescent="0.2">
      <c r="A1052" s="85"/>
    </row>
    <row r="1053" spans="1:1" x14ac:dyDescent="0.2">
      <c r="A1053" s="85"/>
    </row>
    <row r="1054" spans="1:1" x14ac:dyDescent="0.2">
      <c r="A1054" s="85"/>
    </row>
    <row r="1055" spans="1:1" x14ac:dyDescent="0.2">
      <c r="A1055" s="85"/>
    </row>
    <row r="1056" spans="1:1" x14ac:dyDescent="0.2">
      <c r="A1056" s="85"/>
    </row>
    <row r="1057" spans="1:1" x14ac:dyDescent="0.2">
      <c r="A1057" s="85"/>
    </row>
    <row r="1058" spans="1:1" x14ac:dyDescent="0.2">
      <c r="A1058" s="85"/>
    </row>
    <row r="1059" spans="1:1" x14ac:dyDescent="0.2">
      <c r="A1059" s="85"/>
    </row>
    <row r="1060" spans="1:1" x14ac:dyDescent="0.2">
      <c r="A1060" s="85"/>
    </row>
    <row r="1061" spans="1:1" x14ac:dyDescent="0.2">
      <c r="A1061" s="85"/>
    </row>
    <row r="1062" spans="1:1" x14ac:dyDescent="0.2">
      <c r="A1062" s="85"/>
    </row>
    <row r="1063" spans="1:1" x14ac:dyDescent="0.2">
      <c r="A1063" s="85"/>
    </row>
    <row r="1064" spans="1:1" x14ac:dyDescent="0.2">
      <c r="A1064" s="85"/>
    </row>
    <row r="1065" spans="1:1" x14ac:dyDescent="0.2">
      <c r="A1065" s="85"/>
    </row>
    <row r="1066" spans="1:1" x14ac:dyDescent="0.2">
      <c r="A1066" s="85"/>
    </row>
    <row r="1067" spans="1:1" x14ac:dyDescent="0.2">
      <c r="A1067" s="85"/>
    </row>
    <row r="1068" spans="1:1" x14ac:dyDescent="0.2">
      <c r="A1068" s="85"/>
    </row>
    <row r="1069" spans="1:1" x14ac:dyDescent="0.2">
      <c r="A1069" s="85"/>
    </row>
    <row r="1070" spans="1:1" x14ac:dyDescent="0.2">
      <c r="A1070" s="85"/>
    </row>
    <row r="1071" spans="1:1" x14ac:dyDescent="0.2">
      <c r="A1071" s="85"/>
    </row>
    <row r="1072" spans="1:1" x14ac:dyDescent="0.2">
      <c r="A1072" s="85"/>
    </row>
    <row r="1073" spans="1:1" x14ac:dyDescent="0.2">
      <c r="A1073" s="85"/>
    </row>
    <row r="1074" spans="1:1" x14ac:dyDescent="0.2">
      <c r="A1074" s="85"/>
    </row>
    <row r="1075" spans="1:1" x14ac:dyDescent="0.2">
      <c r="A1075" s="85"/>
    </row>
    <row r="1076" spans="1:1" x14ac:dyDescent="0.2">
      <c r="A1076" s="85"/>
    </row>
    <row r="1077" spans="1:1" x14ac:dyDescent="0.2">
      <c r="A1077" s="85"/>
    </row>
    <row r="1078" spans="1:1" x14ac:dyDescent="0.2">
      <c r="A1078" s="85"/>
    </row>
    <row r="1079" spans="1:1" x14ac:dyDescent="0.2">
      <c r="A1079" s="85"/>
    </row>
    <row r="1080" spans="1:1" x14ac:dyDescent="0.2">
      <c r="A1080" s="85"/>
    </row>
    <row r="1081" spans="1:1" x14ac:dyDescent="0.2">
      <c r="A1081" s="85"/>
    </row>
    <row r="1082" spans="1:1" x14ac:dyDescent="0.2">
      <c r="A1082" s="85"/>
    </row>
    <row r="1083" spans="1:1" x14ac:dyDescent="0.2">
      <c r="A1083" s="85"/>
    </row>
    <row r="1084" spans="1:1" x14ac:dyDescent="0.2">
      <c r="A1084" s="85"/>
    </row>
    <row r="1085" spans="1:1" x14ac:dyDescent="0.2">
      <c r="A1085" s="85"/>
    </row>
    <row r="1086" spans="1:1" x14ac:dyDescent="0.2">
      <c r="A1086" s="85"/>
    </row>
    <row r="1087" spans="1:1" x14ac:dyDescent="0.2">
      <c r="A1087" s="85"/>
    </row>
    <row r="1088" spans="1:1" x14ac:dyDescent="0.2">
      <c r="A1088" s="85"/>
    </row>
    <row r="1089" spans="1:1" x14ac:dyDescent="0.2">
      <c r="A1089" s="85"/>
    </row>
    <row r="1090" spans="1:1" x14ac:dyDescent="0.2">
      <c r="A1090" s="85"/>
    </row>
    <row r="1091" spans="1:1" x14ac:dyDescent="0.2">
      <c r="A1091" s="85"/>
    </row>
    <row r="1092" spans="1:1" x14ac:dyDescent="0.2">
      <c r="A1092" s="85"/>
    </row>
    <row r="1093" spans="1:1" x14ac:dyDescent="0.2">
      <c r="A1093" s="85"/>
    </row>
    <row r="1094" spans="1:1" x14ac:dyDescent="0.2">
      <c r="A1094" s="85"/>
    </row>
    <row r="1095" spans="1:1" x14ac:dyDescent="0.2">
      <c r="A1095" s="85"/>
    </row>
    <row r="1096" spans="1:1" x14ac:dyDescent="0.2">
      <c r="A1096" s="85"/>
    </row>
    <row r="1097" spans="1:1" x14ac:dyDescent="0.2">
      <c r="A1097" s="85"/>
    </row>
    <row r="1098" spans="1:1" x14ac:dyDescent="0.2">
      <c r="A1098" s="85"/>
    </row>
    <row r="1099" spans="1:1" x14ac:dyDescent="0.2">
      <c r="A1099" s="85"/>
    </row>
    <row r="1100" spans="1:1" x14ac:dyDescent="0.2">
      <c r="A1100" s="85"/>
    </row>
    <row r="1101" spans="1:1" x14ac:dyDescent="0.2">
      <c r="A1101" s="85"/>
    </row>
    <row r="1102" spans="1:1" x14ac:dyDescent="0.2">
      <c r="A1102" s="85"/>
    </row>
    <row r="1103" spans="1:1" x14ac:dyDescent="0.2">
      <c r="A1103" s="85"/>
    </row>
    <row r="1104" spans="1:1" x14ac:dyDescent="0.2">
      <c r="A1104" s="85"/>
    </row>
    <row r="1105" spans="1:1" x14ac:dyDescent="0.2">
      <c r="A1105" s="85"/>
    </row>
    <row r="1106" spans="1:1" x14ac:dyDescent="0.2">
      <c r="A1106" s="85"/>
    </row>
    <row r="1107" spans="1:1" x14ac:dyDescent="0.2">
      <c r="A1107" s="85"/>
    </row>
    <row r="1108" spans="1:1" x14ac:dyDescent="0.2">
      <c r="A1108" s="85"/>
    </row>
    <row r="1109" spans="1:1" x14ac:dyDescent="0.2">
      <c r="A1109" s="85"/>
    </row>
    <row r="1110" spans="1:1" x14ac:dyDescent="0.2">
      <c r="A1110" s="85"/>
    </row>
    <row r="1111" spans="1:1" x14ac:dyDescent="0.2">
      <c r="A1111" s="85"/>
    </row>
    <row r="1112" spans="1:1" x14ac:dyDescent="0.2">
      <c r="A1112" s="85"/>
    </row>
    <row r="1113" spans="1:1" x14ac:dyDescent="0.2">
      <c r="A1113" s="85"/>
    </row>
    <row r="1114" spans="1:1" x14ac:dyDescent="0.2">
      <c r="A1114" s="85"/>
    </row>
    <row r="1115" spans="1:1" x14ac:dyDescent="0.2">
      <c r="A1115" s="85"/>
    </row>
    <row r="1116" spans="1:1" x14ac:dyDescent="0.2">
      <c r="A1116" s="85"/>
    </row>
    <row r="1117" spans="1:1" x14ac:dyDescent="0.2">
      <c r="A1117" s="85"/>
    </row>
    <row r="1118" spans="1:1" x14ac:dyDescent="0.2">
      <c r="A1118" s="85"/>
    </row>
    <row r="1119" spans="1:1" x14ac:dyDescent="0.2">
      <c r="A1119" s="85"/>
    </row>
    <row r="1120" spans="1:1" x14ac:dyDescent="0.2">
      <c r="A1120" s="85"/>
    </row>
    <row r="1121" spans="1:1" x14ac:dyDescent="0.2">
      <c r="A1121" s="85"/>
    </row>
    <row r="1122" spans="1:1" x14ac:dyDescent="0.2">
      <c r="A1122" s="85"/>
    </row>
    <row r="1123" spans="1:1" x14ac:dyDescent="0.2">
      <c r="A1123" s="85"/>
    </row>
    <row r="1124" spans="1:1" x14ac:dyDescent="0.2">
      <c r="A1124" s="85"/>
    </row>
    <row r="1125" spans="1:1" x14ac:dyDescent="0.2">
      <c r="A1125" s="85"/>
    </row>
    <row r="1126" spans="1:1" x14ac:dyDescent="0.2">
      <c r="A1126" s="85"/>
    </row>
    <row r="1127" spans="1:1" x14ac:dyDescent="0.2">
      <c r="A1127" s="85"/>
    </row>
    <row r="1128" spans="1:1" x14ac:dyDescent="0.2">
      <c r="A1128" s="85"/>
    </row>
    <row r="1129" spans="1:1" x14ac:dyDescent="0.2">
      <c r="A1129" s="85"/>
    </row>
    <row r="1130" spans="1:1" x14ac:dyDescent="0.2">
      <c r="A1130" s="85"/>
    </row>
    <row r="1131" spans="1:1" x14ac:dyDescent="0.2">
      <c r="A1131" s="85"/>
    </row>
    <row r="1132" spans="1:1" x14ac:dyDescent="0.2">
      <c r="A1132" s="85"/>
    </row>
    <row r="1133" spans="1:1" x14ac:dyDescent="0.2">
      <c r="A1133" s="85"/>
    </row>
    <row r="1134" spans="1:1" x14ac:dyDescent="0.2">
      <c r="A1134" s="85"/>
    </row>
    <row r="1135" spans="1:1" x14ac:dyDescent="0.2">
      <c r="A1135" s="85"/>
    </row>
    <row r="1136" spans="1:1" x14ac:dyDescent="0.2">
      <c r="A1136" s="85"/>
    </row>
    <row r="1137" spans="1:1" x14ac:dyDescent="0.2">
      <c r="A1137" s="85"/>
    </row>
    <row r="1138" spans="1:1" x14ac:dyDescent="0.2">
      <c r="A1138" s="85"/>
    </row>
    <row r="1139" spans="1:1" x14ac:dyDescent="0.2">
      <c r="A1139" s="85"/>
    </row>
    <row r="1140" spans="1:1" x14ac:dyDescent="0.2">
      <c r="A1140" s="85"/>
    </row>
    <row r="1141" spans="1:1" x14ac:dyDescent="0.2">
      <c r="A1141" s="85"/>
    </row>
    <row r="1142" spans="1:1" x14ac:dyDescent="0.2">
      <c r="A1142" s="85"/>
    </row>
    <row r="1143" spans="1:1" x14ac:dyDescent="0.2">
      <c r="A1143" s="85"/>
    </row>
    <row r="1144" spans="1:1" x14ac:dyDescent="0.2">
      <c r="A1144" s="85"/>
    </row>
    <row r="1145" spans="1:1" x14ac:dyDescent="0.2">
      <c r="A1145" s="85"/>
    </row>
    <row r="1146" spans="1:1" x14ac:dyDescent="0.2">
      <c r="A1146" s="85"/>
    </row>
    <row r="1147" spans="1:1" x14ac:dyDescent="0.2">
      <c r="A1147" s="85"/>
    </row>
    <row r="1148" spans="1:1" x14ac:dyDescent="0.2">
      <c r="A1148" s="85"/>
    </row>
    <row r="1149" spans="1:1" x14ac:dyDescent="0.2">
      <c r="A1149" s="85"/>
    </row>
    <row r="1150" spans="1:1" x14ac:dyDescent="0.2">
      <c r="A1150" s="85"/>
    </row>
    <row r="1151" spans="1:1" x14ac:dyDescent="0.2">
      <c r="A1151" s="85"/>
    </row>
    <row r="1152" spans="1:1" x14ac:dyDescent="0.2">
      <c r="A1152" s="85"/>
    </row>
    <row r="1153" spans="1:1" x14ac:dyDescent="0.2">
      <c r="A1153" s="85"/>
    </row>
    <row r="1154" spans="1:1" x14ac:dyDescent="0.2">
      <c r="A1154" s="85"/>
    </row>
    <row r="1155" spans="1:1" x14ac:dyDescent="0.2">
      <c r="A1155" s="85"/>
    </row>
    <row r="1156" spans="1:1" x14ac:dyDescent="0.2">
      <c r="A1156" s="85"/>
    </row>
    <row r="1157" spans="1:1" x14ac:dyDescent="0.2">
      <c r="A1157" s="85"/>
    </row>
    <row r="1158" spans="1:1" x14ac:dyDescent="0.2">
      <c r="A1158" s="85"/>
    </row>
    <row r="1159" spans="1:1" x14ac:dyDescent="0.2">
      <c r="A1159" s="85"/>
    </row>
    <row r="1160" spans="1:1" x14ac:dyDescent="0.2">
      <c r="A1160" s="85"/>
    </row>
    <row r="1161" spans="1:1" x14ac:dyDescent="0.2">
      <c r="A1161" s="85"/>
    </row>
    <row r="1162" spans="1:1" x14ac:dyDescent="0.2">
      <c r="A1162" s="85"/>
    </row>
    <row r="1163" spans="1:1" x14ac:dyDescent="0.2">
      <c r="A1163" s="85"/>
    </row>
    <row r="1164" spans="1:1" x14ac:dyDescent="0.2">
      <c r="A1164" s="85"/>
    </row>
    <row r="1165" spans="1:1" x14ac:dyDescent="0.2">
      <c r="A1165" s="85"/>
    </row>
    <row r="1166" spans="1:1" x14ac:dyDescent="0.2">
      <c r="A1166" s="85"/>
    </row>
    <row r="1167" spans="1:1" x14ac:dyDescent="0.2">
      <c r="A1167" s="85"/>
    </row>
    <row r="1168" spans="1:1" x14ac:dyDescent="0.2">
      <c r="A1168" s="85"/>
    </row>
    <row r="1169" spans="1:1" x14ac:dyDescent="0.2">
      <c r="A1169" s="85"/>
    </row>
    <row r="1170" spans="1:1" x14ac:dyDescent="0.2">
      <c r="A1170" s="85"/>
    </row>
    <row r="1171" spans="1:1" x14ac:dyDescent="0.2">
      <c r="A1171" s="85"/>
    </row>
    <row r="1172" spans="1:1" x14ac:dyDescent="0.2">
      <c r="A1172" s="85"/>
    </row>
    <row r="1173" spans="1:1" x14ac:dyDescent="0.2">
      <c r="A1173" s="85"/>
    </row>
    <row r="1174" spans="1:1" x14ac:dyDescent="0.2">
      <c r="A1174" s="85"/>
    </row>
    <row r="1175" spans="1:1" x14ac:dyDescent="0.2">
      <c r="A1175" s="85"/>
    </row>
    <row r="1176" spans="1:1" x14ac:dyDescent="0.2">
      <c r="A1176" s="85"/>
    </row>
    <row r="1177" spans="1:1" x14ac:dyDescent="0.2">
      <c r="A1177" s="85"/>
    </row>
    <row r="1178" spans="1:1" x14ac:dyDescent="0.2">
      <c r="A1178" s="85"/>
    </row>
    <row r="1179" spans="1:1" x14ac:dyDescent="0.2">
      <c r="A1179" s="85"/>
    </row>
    <row r="1180" spans="1:1" x14ac:dyDescent="0.2">
      <c r="A1180" s="85"/>
    </row>
    <row r="1181" spans="1:1" x14ac:dyDescent="0.2">
      <c r="A1181" s="85"/>
    </row>
    <row r="1182" spans="1:1" x14ac:dyDescent="0.2">
      <c r="A1182" s="85"/>
    </row>
    <row r="1183" spans="1:1" x14ac:dyDescent="0.2">
      <c r="A1183" s="85"/>
    </row>
    <row r="1184" spans="1:1" x14ac:dyDescent="0.2">
      <c r="A1184" s="85"/>
    </row>
    <row r="1185" spans="1:1" x14ac:dyDescent="0.2">
      <c r="A1185" s="85"/>
    </row>
    <row r="1186" spans="1:1" x14ac:dyDescent="0.2">
      <c r="A1186" s="85"/>
    </row>
    <row r="1187" spans="1:1" x14ac:dyDescent="0.2">
      <c r="A1187" s="85"/>
    </row>
    <row r="1188" spans="1:1" x14ac:dyDescent="0.2">
      <c r="A1188" s="85"/>
    </row>
    <row r="1189" spans="1:1" x14ac:dyDescent="0.2">
      <c r="A1189" s="85"/>
    </row>
    <row r="1190" spans="1:1" x14ac:dyDescent="0.2">
      <c r="A1190" s="85"/>
    </row>
    <row r="1191" spans="1:1" x14ac:dyDescent="0.2">
      <c r="A1191" s="85"/>
    </row>
    <row r="1192" spans="1:1" x14ac:dyDescent="0.2">
      <c r="A1192" s="85"/>
    </row>
    <row r="1193" spans="1:1" x14ac:dyDescent="0.2">
      <c r="A1193" s="85"/>
    </row>
    <row r="1194" spans="1:1" x14ac:dyDescent="0.2">
      <c r="A1194" s="85"/>
    </row>
    <row r="1195" spans="1:1" x14ac:dyDescent="0.2">
      <c r="A1195" s="85"/>
    </row>
    <row r="1196" spans="1:1" x14ac:dyDescent="0.2">
      <c r="A1196" s="85"/>
    </row>
    <row r="1197" spans="1:1" x14ac:dyDescent="0.2">
      <c r="A1197" s="85"/>
    </row>
    <row r="1198" spans="1:1" x14ac:dyDescent="0.2">
      <c r="A1198" s="85"/>
    </row>
    <row r="1199" spans="1:1" x14ac:dyDescent="0.2">
      <c r="A1199" s="85"/>
    </row>
    <row r="1200" spans="1:1" x14ac:dyDescent="0.2">
      <c r="A1200" s="85"/>
    </row>
    <row r="1201" spans="1:1" x14ac:dyDescent="0.2">
      <c r="A1201" s="85"/>
    </row>
    <row r="1202" spans="1:1" x14ac:dyDescent="0.2">
      <c r="A1202" s="85"/>
    </row>
    <row r="1203" spans="1:1" x14ac:dyDescent="0.2">
      <c r="A1203" s="85"/>
    </row>
    <row r="1204" spans="1:1" x14ac:dyDescent="0.2">
      <c r="A1204" s="85"/>
    </row>
    <row r="1205" spans="1:1" x14ac:dyDescent="0.2">
      <c r="A1205" s="85"/>
    </row>
    <row r="1206" spans="1:1" x14ac:dyDescent="0.2">
      <c r="A1206" s="85"/>
    </row>
    <row r="1207" spans="1:1" x14ac:dyDescent="0.2">
      <c r="A1207" s="85"/>
    </row>
    <row r="1208" spans="1:1" x14ac:dyDescent="0.2">
      <c r="A1208" s="85"/>
    </row>
    <row r="1209" spans="1:1" x14ac:dyDescent="0.2">
      <c r="A1209" s="85"/>
    </row>
    <row r="1210" spans="1:1" x14ac:dyDescent="0.2">
      <c r="A1210" s="85"/>
    </row>
    <row r="1211" spans="1:1" x14ac:dyDescent="0.2">
      <c r="A1211" s="85"/>
    </row>
    <row r="1212" spans="1:1" x14ac:dyDescent="0.2">
      <c r="A1212" s="85"/>
    </row>
    <row r="1213" spans="1:1" x14ac:dyDescent="0.2">
      <c r="A1213" s="85"/>
    </row>
    <row r="1214" spans="1:1" x14ac:dyDescent="0.2">
      <c r="A1214" s="85"/>
    </row>
    <row r="1215" spans="1:1" x14ac:dyDescent="0.2">
      <c r="A1215" s="85"/>
    </row>
    <row r="1216" spans="1:1" x14ac:dyDescent="0.2">
      <c r="A1216" s="85"/>
    </row>
    <row r="1217" spans="1:1" x14ac:dyDescent="0.2">
      <c r="A1217" s="85"/>
    </row>
    <row r="1218" spans="1:1" x14ac:dyDescent="0.2">
      <c r="A1218" s="85"/>
    </row>
    <row r="1219" spans="1:1" x14ac:dyDescent="0.2">
      <c r="A1219" s="85"/>
    </row>
    <row r="1220" spans="1:1" x14ac:dyDescent="0.2">
      <c r="A1220" s="85"/>
    </row>
    <row r="1221" spans="1:1" x14ac:dyDescent="0.2">
      <c r="A1221" s="85"/>
    </row>
    <row r="1222" spans="1:1" x14ac:dyDescent="0.2">
      <c r="A1222" s="85"/>
    </row>
    <row r="1223" spans="1:1" x14ac:dyDescent="0.2">
      <c r="A1223" s="85"/>
    </row>
    <row r="1224" spans="1:1" x14ac:dyDescent="0.2">
      <c r="A1224" s="85"/>
    </row>
    <row r="1225" spans="1:1" x14ac:dyDescent="0.2">
      <c r="A1225" s="85"/>
    </row>
    <row r="1226" spans="1:1" x14ac:dyDescent="0.2">
      <c r="A1226" s="85"/>
    </row>
    <row r="1227" spans="1:1" x14ac:dyDescent="0.2">
      <c r="A1227" s="85"/>
    </row>
    <row r="1228" spans="1:1" x14ac:dyDescent="0.2">
      <c r="A1228" s="85"/>
    </row>
    <row r="1229" spans="1:1" x14ac:dyDescent="0.2">
      <c r="A1229" s="85"/>
    </row>
    <row r="1230" spans="1:1" x14ac:dyDescent="0.2">
      <c r="A1230" s="85"/>
    </row>
    <row r="1231" spans="1:1" x14ac:dyDescent="0.2">
      <c r="A1231" s="85"/>
    </row>
    <row r="1232" spans="1:1" x14ac:dyDescent="0.2">
      <c r="A1232" s="85"/>
    </row>
    <row r="1233" spans="1:1" x14ac:dyDescent="0.2">
      <c r="A1233" s="85"/>
    </row>
    <row r="1234" spans="1:1" x14ac:dyDescent="0.2">
      <c r="A1234" s="85"/>
    </row>
    <row r="1235" spans="1:1" x14ac:dyDescent="0.2">
      <c r="A1235" s="85"/>
    </row>
    <row r="1236" spans="1:1" x14ac:dyDescent="0.2">
      <c r="A1236" s="85"/>
    </row>
    <row r="1237" spans="1:1" x14ac:dyDescent="0.2">
      <c r="A1237" s="85"/>
    </row>
    <row r="1238" spans="1:1" x14ac:dyDescent="0.2">
      <c r="A1238" s="85"/>
    </row>
    <row r="1239" spans="1:1" x14ac:dyDescent="0.2">
      <c r="A1239" s="85"/>
    </row>
    <row r="1240" spans="1:1" x14ac:dyDescent="0.2">
      <c r="A1240" s="85"/>
    </row>
    <row r="1241" spans="1:1" x14ac:dyDescent="0.2">
      <c r="A1241" s="85"/>
    </row>
    <row r="1242" spans="1:1" x14ac:dyDescent="0.2">
      <c r="A1242" s="85"/>
    </row>
    <row r="1243" spans="1:1" x14ac:dyDescent="0.2">
      <c r="A1243" s="85"/>
    </row>
    <row r="1244" spans="1:1" x14ac:dyDescent="0.2">
      <c r="A1244" s="85"/>
    </row>
    <row r="1245" spans="1:1" x14ac:dyDescent="0.2">
      <c r="A1245" s="85"/>
    </row>
    <row r="1246" spans="1:1" x14ac:dyDescent="0.2">
      <c r="A1246" s="85"/>
    </row>
    <row r="1247" spans="1:1" x14ac:dyDescent="0.2">
      <c r="A1247" s="85"/>
    </row>
    <row r="1248" spans="1:1" x14ac:dyDescent="0.2">
      <c r="A1248" s="85"/>
    </row>
    <row r="1249" spans="1:1" x14ac:dyDescent="0.2">
      <c r="A1249" s="85"/>
    </row>
    <row r="1250" spans="1:1" x14ac:dyDescent="0.2">
      <c r="A1250" s="85"/>
    </row>
    <row r="1251" spans="1:1" x14ac:dyDescent="0.2">
      <c r="A1251" s="85"/>
    </row>
    <row r="1252" spans="1:1" x14ac:dyDescent="0.2">
      <c r="A1252" s="85"/>
    </row>
    <row r="1253" spans="1:1" x14ac:dyDescent="0.2">
      <c r="A1253" s="85"/>
    </row>
    <row r="1254" spans="1:1" x14ac:dyDescent="0.2">
      <c r="A1254" s="85"/>
    </row>
    <row r="1255" spans="1:1" x14ac:dyDescent="0.2">
      <c r="A1255" s="85"/>
    </row>
    <row r="1256" spans="1:1" x14ac:dyDescent="0.2">
      <c r="A1256" s="85"/>
    </row>
    <row r="1257" spans="1:1" x14ac:dyDescent="0.2">
      <c r="A1257" s="85"/>
    </row>
    <row r="1258" spans="1:1" x14ac:dyDescent="0.2">
      <c r="A1258" s="85"/>
    </row>
    <row r="1259" spans="1:1" x14ac:dyDescent="0.2">
      <c r="A1259" s="85"/>
    </row>
    <row r="1260" spans="1:1" x14ac:dyDescent="0.2">
      <c r="A1260" s="85"/>
    </row>
    <row r="1261" spans="1:1" x14ac:dyDescent="0.2">
      <c r="A1261" s="85"/>
    </row>
    <row r="1262" spans="1:1" x14ac:dyDescent="0.2">
      <c r="A1262" s="85"/>
    </row>
    <row r="1263" spans="1:1" x14ac:dyDescent="0.2">
      <c r="A1263" s="85"/>
    </row>
    <row r="1264" spans="1:1" x14ac:dyDescent="0.2">
      <c r="A1264" s="85"/>
    </row>
    <row r="1265" spans="1:1" x14ac:dyDescent="0.2">
      <c r="A1265" s="85"/>
    </row>
    <row r="1266" spans="1:1" x14ac:dyDescent="0.2">
      <c r="A1266" s="85"/>
    </row>
    <row r="1267" spans="1:1" x14ac:dyDescent="0.2">
      <c r="A1267" s="85"/>
    </row>
    <row r="1268" spans="1:1" x14ac:dyDescent="0.2">
      <c r="A1268" s="85"/>
    </row>
    <row r="1269" spans="1:1" x14ac:dyDescent="0.2">
      <c r="A1269" s="85"/>
    </row>
    <row r="1270" spans="1:1" x14ac:dyDescent="0.2">
      <c r="A1270" s="85"/>
    </row>
    <row r="1271" spans="1:1" x14ac:dyDescent="0.2">
      <c r="A1271" s="85"/>
    </row>
    <row r="1272" spans="1:1" x14ac:dyDescent="0.2">
      <c r="A1272" s="85"/>
    </row>
    <row r="1273" spans="1:1" x14ac:dyDescent="0.2">
      <c r="A1273" s="85"/>
    </row>
    <row r="1274" spans="1:1" x14ac:dyDescent="0.2">
      <c r="A1274" s="85"/>
    </row>
    <row r="1275" spans="1:1" x14ac:dyDescent="0.2">
      <c r="A1275" s="85"/>
    </row>
    <row r="1276" spans="1:1" x14ac:dyDescent="0.2">
      <c r="A1276" s="85"/>
    </row>
    <row r="1277" spans="1:1" x14ac:dyDescent="0.2">
      <c r="A1277" s="85"/>
    </row>
    <row r="1278" spans="1:1" x14ac:dyDescent="0.2">
      <c r="A1278" s="85"/>
    </row>
    <row r="1279" spans="1:1" x14ac:dyDescent="0.2">
      <c r="A1279" s="85"/>
    </row>
    <row r="1280" spans="1:1" x14ac:dyDescent="0.2">
      <c r="A1280" s="85"/>
    </row>
    <row r="1281" spans="1:1" x14ac:dyDescent="0.2">
      <c r="A1281" s="85"/>
    </row>
    <row r="1282" spans="1:1" x14ac:dyDescent="0.2">
      <c r="A1282" s="85"/>
    </row>
    <row r="1283" spans="1:1" x14ac:dyDescent="0.2">
      <c r="A1283" s="85"/>
    </row>
    <row r="1284" spans="1:1" x14ac:dyDescent="0.2">
      <c r="A1284" s="85"/>
    </row>
    <row r="1285" spans="1:1" x14ac:dyDescent="0.2">
      <c r="A1285" s="85"/>
    </row>
    <row r="1286" spans="1:1" x14ac:dyDescent="0.2">
      <c r="A1286" s="85"/>
    </row>
    <row r="1287" spans="1:1" x14ac:dyDescent="0.2">
      <c r="A1287" s="85"/>
    </row>
    <row r="1288" spans="1:1" x14ac:dyDescent="0.2">
      <c r="A1288" s="85"/>
    </row>
    <row r="1289" spans="1:1" x14ac:dyDescent="0.2">
      <c r="A1289" s="85"/>
    </row>
    <row r="1290" spans="1:1" x14ac:dyDescent="0.2">
      <c r="A1290" s="85"/>
    </row>
    <row r="1291" spans="1:1" x14ac:dyDescent="0.2">
      <c r="A1291" s="85"/>
    </row>
    <row r="1292" spans="1:1" x14ac:dyDescent="0.2">
      <c r="A1292" s="85"/>
    </row>
    <row r="1293" spans="1:1" x14ac:dyDescent="0.2">
      <c r="A1293" s="85"/>
    </row>
    <row r="1294" spans="1:1" x14ac:dyDescent="0.2">
      <c r="A1294" s="85"/>
    </row>
    <row r="1295" spans="1:1" x14ac:dyDescent="0.2">
      <c r="A1295" s="85"/>
    </row>
    <row r="1296" spans="1:1" x14ac:dyDescent="0.2">
      <c r="A1296" s="85"/>
    </row>
    <row r="1297" spans="1:1" x14ac:dyDescent="0.2">
      <c r="A1297" s="85"/>
    </row>
    <row r="1298" spans="1:1" x14ac:dyDescent="0.2">
      <c r="A1298" s="85"/>
    </row>
    <row r="1299" spans="1:1" x14ac:dyDescent="0.2">
      <c r="A1299" s="85"/>
    </row>
    <row r="1300" spans="1:1" x14ac:dyDescent="0.2">
      <c r="A1300" s="85"/>
    </row>
    <row r="1301" spans="1:1" x14ac:dyDescent="0.2">
      <c r="A1301" s="85"/>
    </row>
    <row r="1302" spans="1:1" x14ac:dyDescent="0.2">
      <c r="A1302" s="85"/>
    </row>
    <row r="1303" spans="1:1" x14ac:dyDescent="0.2">
      <c r="A1303" s="85"/>
    </row>
    <row r="1304" spans="1:1" x14ac:dyDescent="0.2">
      <c r="A1304" s="85"/>
    </row>
    <row r="1305" spans="1:1" x14ac:dyDescent="0.2">
      <c r="A1305" s="85"/>
    </row>
    <row r="1306" spans="1:1" x14ac:dyDescent="0.2">
      <c r="A1306" s="85"/>
    </row>
    <row r="1307" spans="1:1" x14ac:dyDescent="0.2">
      <c r="A1307" s="85"/>
    </row>
    <row r="1308" spans="1:1" x14ac:dyDescent="0.2">
      <c r="A1308" s="85"/>
    </row>
    <row r="1309" spans="1:1" x14ac:dyDescent="0.2">
      <c r="A1309" s="85"/>
    </row>
    <row r="1310" spans="1:1" x14ac:dyDescent="0.2">
      <c r="A1310" s="85"/>
    </row>
    <row r="1311" spans="1:1" x14ac:dyDescent="0.2">
      <c r="A1311" s="85"/>
    </row>
    <row r="1312" spans="1:1" x14ac:dyDescent="0.2">
      <c r="A1312" s="85"/>
    </row>
    <row r="1313" spans="1:1" x14ac:dyDescent="0.2">
      <c r="A1313" s="85"/>
    </row>
    <row r="1314" spans="1:1" x14ac:dyDescent="0.2">
      <c r="A1314" s="85"/>
    </row>
    <row r="1315" spans="1:1" x14ac:dyDescent="0.2">
      <c r="A1315" s="85"/>
    </row>
    <row r="1316" spans="1:1" x14ac:dyDescent="0.2">
      <c r="A1316" s="85"/>
    </row>
    <row r="1317" spans="1:1" x14ac:dyDescent="0.2">
      <c r="A1317" s="85"/>
    </row>
    <row r="1318" spans="1:1" x14ac:dyDescent="0.2">
      <c r="A1318" s="85"/>
    </row>
    <row r="1319" spans="1:1" x14ac:dyDescent="0.2">
      <c r="A1319" s="85"/>
    </row>
    <row r="1320" spans="1:1" x14ac:dyDescent="0.2">
      <c r="A1320" s="85"/>
    </row>
    <row r="1321" spans="1:1" x14ac:dyDescent="0.2">
      <c r="A1321" s="85"/>
    </row>
    <row r="1322" spans="1:1" x14ac:dyDescent="0.2">
      <c r="A1322" s="85"/>
    </row>
    <row r="1323" spans="1:1" x14ac:dyDescent="0.2">
      <c r="A1323" s="85"/>
    </row>
    <row r="1324" spans="1:1" x14ac:dyDescent="0.2">
      <c r="A1324" s="85"/>
    </row>
    <row r="1325" spans="1:1" x14ac:dyDescent="0.2">
      <c r="A1325" s="85"/>
    </row>
    <row r="1326" spans="1:1" x14ac:dyDescent="0.2">
      <c r="A1326" s="85"/>
    </row>
    <row r="1327" spans="1:1" x14ac:dyDescent="0.2">
      <c r="A1327" s="85"/>
    </row>
    <row r="1328" spans="1:1" x14ac:dyDescent="0.2">
      <c r="A1328" s="85"/>
    </row>
    <row r="1329" spans="1:1" x14ac:dyDescent="0.2">
      <c r="A1329" s="85"/>
    </row>
    <row r="1330" spans="1:1" x14ac:dyDescent="0.2">
      <c r="A1330" s="85"/>
    </row>
    <row r="1331" spans="1:1" x14ac:dyDescent="0.2">
      <c r="A1331" s="85"/>
    </row>
    <row r="1332" spans="1:1" x14ac:dyDescent="0.2">
      <c r="A1332" s="85"/>
    </row>
    <row r="1333" spans="1:1" x14ac:dyDescent="0.2">
      <c r="A1333" s="85"/>
    </row>
    <row r="1334" spans="1:1" x14ac:dyDescent="0.2">
      <c r="A1334" s="85"/>
    </row>
    <row r="1335" spans="1:1" x14ac:dyDescent="0.2">
      <c r="A1335" s="85"/>
    </row>
    <row r="1336" spans="1:1" x14ac:dyDescent="0.2">
      <c r="A1336" s="85"/>
    </row>
    <row r="1337" spans="1:1" x14ac:dyDescent="0.2">
      <c r="A1337" s="85"/>
    </row>
    <row r="1338" spans="1:1" x14ac:dyDescent="0.2">
      <c r="A1338" s="85"/>
    </row>
    <row r="1339" spans="1:1" x14ac:dyDescent="0.2">
      <c r="A1339" s="85"/>
    </row>
    <row r="1340" spans="1:1" x14ac:dyDescent="0.2">
      <c r="A1340" s="85"/>
    </row>
    <row r="1341" spans="1:1" x14ac:dyDescent="0.2">
      <c r="A1341" s="85"/>
    </row>
    <row r="1342" spans="1:1" x14ac:dyDescent="0.2">
      <c r="A1342" s="85"/>
    </row>
    <row r="1343" spans="1:1" x14ac:dyDescent="0.2">
      <c r="A1343" s="85"/>
    </row>
    <row r="1344" spans="1:1" x14ac:dyDescent="0.2">
      <c r="A1344" s="85"/>
    </row>
    <row r="1345" spans="1:1" x14ac:dyDescent="0.2">
      <c r="A1345" s="85"/>
    </row>
    <row r="1346" spans="1:1" x14ac:dyDescent="0.2">
      <c r="A1346" s="85"/>
    </row>
    <row r="1347" spans="1:1" x14ac:dyDescent="0.2">
      <c r="A1347" s="85"/>
    </row>
    <row r="1348" spans="1:1" x14ac:dyDescent="0.2">
      <c r="A1348" s="85"/>
    </row>
    <row r="1349" spans="1:1" x14ac:dyDescent="0.2">
      <c r="A1349" s="85"/>
    </row>
    <row r="1350" spans="1:1" x14ac:dyDescent="0.2">
      <c r="A1350" s="85"/>
    </row>
    <row r="1351" spans="1:1" x14ac:dyDescent="0.2">
      <c r="A1351" s="85"/>
    </row>
    <row r="1352" spans="1:1" x14ac:dyDescent="0.2">
      <c r="A1352" s="85"/>
    </row>
    <row r="1353" spans="1:1" x14ac:dyDescent="0.2">
      <c r="A1353" s="85"/>
    </row>
    <row r="1354" spans="1:1" x14ac:dyDescent="0.2">
      <c r="A1354" s="85"/>
    </row>
    <row r="1355" spans="1:1" x14ac:dyDescent="0.2">
      <c r="A1355" s="85"/>
    </row>
    <row r="1356" spans="1:1" x14ac:dyDescent="0.2">
      <c r="A1356" s="85"/>
    </row>
    <row r="1357" spans="1:1" x14ac:dyDescent="0.2">
      <c r="A1357" s="85"/>
    </row>
    <row r="1358" spans="1:1" x14ac:dyDescent="0.2">
      <c r="A1358" s="85"/>
    </row>
    <row r="1359" spans="1:1" x14ac:dyDescent="0.2">
      <c r="A1359" s="85"/>
    </row>
    <row r="1360" spans="1:1" x14ac:dyDescent="0.2">
      <c r="A1360" s="85"/>
    </row>
    <row r="1361" spans="1:1" x14ac:dyDescent="0.2">
      <c r="A1361" s="85"/>
    </row>
    <row r="1362" spans="1:1" x14ac:dyDescent="0.2">
      <c r="A1362" s="85"/>
    </row>
    <row r="1363" spans="1:1" x14ac:dyDescent="0.2">
      <c r="A1363" s="85"/>
    </row>
    <row r="1364" spans="1:1" x14ac:dyDescent="0.2">
      <c r="A1364" s="85"/>
    </row>
    <row r="1365" spans="1:1" x14ac:dyDescent="0.2">
      <c r="A1365" s="85"/>
    </row>
    <row r="1366" spans="1:1" x14ac:dyDescent="0.2">
      <c r="A1366" s="85"/>
    </row>
    <row r="1367" spans="1:1" x14ac:dyDescent="0.2">
      <c r="A1367" s="85"/>
    </row>
    <row r="1368" spans="1:1" x14ac:dyDescent="0.2">
      <c r="A1368" s="85"/>
    </row>
    <row r="1369" spans="1:1" x14ac:dyDescent="0.2">
      <c r="A1369" s="85"/>
    </row>
    <row r="1370" spans="1:1" x14ac:dyDescent="0.2">
      <c r="A1370" s="85"/>
    </row>
    <row r="1371" spans="1:1" x14ac:dyDescent="0.2">
      <c r="A1371" s="85"/>
    </row>
    <row r="1372" spans="1:1" x14ac:dyDescent="0.2">
      <c r="A1372" s="85"/>
    </row>
    <row r="1373" spans="1:1" x14ac:dyDescent="0.2">
      <c r="A1373" s="85"/>
    </row>
    <row r="1374" spans="1:1" x14ac:dyDescent="0.2">
      <c r="A1374" s="85"/>
    </row>
    <row r="1375" spans="1:1" x14ac:dyDescent="0.2">
      <c r="A1375" s="85"/>
    </row>
    <row r="1376" spans="1:1" x14ac:dyDescent="0.2">
      <c r="A1376" s="85"/>
    </row>
    <row r="1377" spans="1:1" x14ac:dyDescent="0.2">
      <c r="A1377" s="85"/>
    </row>
    <row r="1378" spans="1:1" x14ac:dyDescent="0.2">
      <c r="A1378" s="85"/>
    </row>
    <row r="1379" spans="1:1" x14ac:dyDescent="0.2">
      <c r="A1379" s="85"/>
    </row>
    <row r="1380" spans="1:1" x14ac:dyDescent="0.2">
      <c r="A1380" s="85"/>
    </row>
    <row r="1381" spans="1:1" x14ac:dyDescent="0.2">
      <c r="A1381" s="85"/>
    </row>
    <row r="1382" spans="1:1" x14ac:dyDescent="0.2">
      <c r="A1382" s="85"/>
    </row>
    <row r="1383" spans="1:1" x14ac:dyDescent="0.2">
      <c r="A1383" s="85"/>
    </row>
    <row r="1384" spans="1:1" x14ac:dyDescent="0.2">
      <c r="A1384" s="85"/>
    </row>
    <row r="1385" spans="1:1" x14ac:dyDescent="0.2">
      <c r="A1385" s="85"/>
    </row>
    <row r="1386" spans="1:1" x14ac:dyDescent="0.2">
      <c r="A1386" s="85"/>
    </row>
    <row r="1387" spans="1:1" x14ac:dyDescent="0.2">
      <c r="A1387" s="85"/>
    </row>
    <row r="1388" spans="1:1" x14ac:dyDescent="0.2">
      <c r="A1388" s="85"/>
    </row>
    <row r="1389" spans="1:1" x14ac:dyDescent="0.2">
      <c r="A1389" s="85"/>
    </row>
    <row r="1390" spans="1:1" x14ac:dyDescent="0.2">
      <c r="A1390" s="85"/>
    </row>
    <row r="1391" spans="1:1" x14ac:dyDescent="0.2">
      <c r="A1391" s="85"/>
    </row>
    <row r="1392" spans="1:1" x14ac:dyDescent="0.2">
      <c r="A1392" s="85"/>
    </row>
    <row r="1393" spans="1:1" x14ac:dyDescent="0.2">
      <c r="A1393" s="85"/>
    </row>
    <row r="1394" spans="1:1" x14ac:dyDescent="0.2">
      <c r="A1394" s="85"/>
    </row>
    <row r="1395" spans="1:1" x14ac:dyDescent="0.2">
      <c r="A1395" s="85"/>
    </row>
    <row r="1396" spans="1:1" x14ac:dyDescent="0.2">
      <c r="A1396" s="85"/>
    </row>
    <row r="1397" spans="1:1" x14ac:dyDescent="0.2">
      <c r="A1397" s="85"/>
    </row>
    <row r="1398" spans="1:1" x14ac:dyDescent="0.2">
      <c r="A1398" s="85"/>
    </row>
    <row r="1399" spans="1:1" x14ac:dyDescent="0.2">
      <c r="A1399" s="85"/>
    </row>
    <row r="1400" spans="1:1" x14ac:dyDescent="0.2">
      <c r="A1400" s="85"/>
    </row>
    <row r="1401" spans="1:1" x14ac:dyDescent="0.2">
      <c r="A1401" s="85"/>
    </row>
    <row r="1402" spans="1:1" x14ac:dyDescent="0.2">
      <c r="A1402" s="85"/>
    </row>
    <row r="1403" spans="1:1" x14ac:dyDescent="0.2">
      <c r="A1403" s="85"/>
    </row>
    <row r="1404" spans="1:1" x14ac:dyDescent="0.2">
      <c r="A1404" s="85"/>
    </row>
    <row r="1405" spans="1:1" x14ac:dyDescent="0.2">
      <c r="A1405" s="85"/>
    </row>
    <row r="1406" spans="1:1" x14ac:dyDescent="0.2">
      <c r="A1406" s="85"/>
    </row>
    <row r="1407" spans="1:1" x14ac:dyDescent="0.2">
      <c r="A1407" s="85"/>
    </row>
    <row r="1408" spans="1:1" x14ac:dyDescent="0.2">
      <c r="A1408" s="85"/>
    </row>
    <row r="1409" spans="1:1" x14ac:dyDescent="0.2">
      <c r="A1409" s="85"/>
    </row>
    <row r="1410" spans="1:1" x14ac:dyDescent="0.2">
      <c r="A1410" s="85"/>
    </row>
    <row r="1411" spans="1:1" x14ac:dyDescent="0.2">
      <c r="A1411" s="85"/>
    </row>
    <row r="1412" spans="1:1" x14ac:dyDescent="0.2">
      <c r="A1412" s="85"/>
    </row>
    <row r="1413" spans="1:1" x14ac:dyDescent="0.2">
      <c r="A1413" s="85"/>
    </row>
    <row r="1414" spans="1:1" x14ac:dyDescent="0.2">
      <c r="A1414" s="85"/>
    </row>
    <row r="1415" spans="1:1" x14ac:dyDescent="0.2">
      <c r="A1415" s="85"/>
    </row>
    <row r="1416" spans="1:1" x14ac:dyDescent="0.2">
      <c r="A1416" s="85"/>
    </row>
    <row r="1417" spans="1:1" x14ac:dyDescent="0.2">
      <c r="A1417" s="85"/>
    </row>
    <row r="1418" spans="1:1" x14ac:dyDescent="0.2">
      <c r="A1418" s="85"/>
    </row>
    <row r="1419" spans="1:1" x14ac:dyDescent="0.2">
      <c r="A1419" s="85"/>
    </row>
    <row r="1420" spans="1:1" x14ac:dyDescent="0.2">
      <c r="A1420" s="85"/>
    </row>
    <row r="1421" spans="1:1" x14ac:dyDescent="0.2">
      <c r="A1421" s="85"/>
    </row>
    <row r="1422" spans="1:1" x14ac:dyDescent="0.2">
      <c r="A1422" s="85"/>
    </row>
    <row r="1423" spans="1:1" x14ac:dyDescent="0.2">
      <c r="A1423" s="85"/>
    </row>
    <row r="1424" spans="1:1" x14ac:dyDescent="0.2">
      <c r="A1424" s="85"/>
    </row>
    <row r="1425" spans="1:1" x14ac:dyDescent="0.2">
      <c r="A1425" s="85"/>
    </row>
    <row r="1426" spans="1:1" x14ac:dyDescent="0.2">
      <c r="A1426" s="85"/>
    </row>
    <row r="1427" spans="1:1" x14ac:dyDescent="0.2">
      <c r="A1427" s="85"/>
    </row>
    <row r="1428" spans="1:1" x14ac:dyDescent="0.2">
      <c r="A1428" s="85"/>
    </row>
    <row r="1429" spans="1:1" x14ac:dyDescent="0.2">
      <c r="A1429" s="85"/>
    </row>
    <row r="1430" spans="1:1" x14ac:dyDescent="0.2">
      <c r="A1430" s="85"/>
    </row>
    <row r="1431" spans="1:1" x14ac:dyDescent="0.2">
      <c r="A1431" s="85"/>
    </row>
    <row r="1432" spans="1:1" x14ac:dyDescent="0.2">
      <c r="A1432" s="85"/>
    </row>
    <row r="1433" spans="1:1" x14ac:dyDescent="0.2">
      <c r="A1433" s="85"/>
    </row>
    <row r="1434" spans="1:1" x14ac:dyDescent="0.2">
      <c r="A1434" s="85"/>
    </row>
    <row r="1435" spans="1:1" x14ac:dyDescent="0.2">
      <c r="A1435" s="85"/>
    </row>
    <row r="1436" spans="1:1" x14ac:dyDescent="0.2">
      <c r="A1436" s="85"/>
    </row>
    <row r="1437" spans="1:1" x14ac:dyDescent="0.2">
      <c r="A1437" s="85"/>
    </row>
    <row r="1438" spans="1:1" x14ac:dyDescent="0.2">
      <c r="A1438" s="85"/>
    </row>
    <row r="1439" spans="1:1" x14ac:dyDescent="0.2">
      <c r="A1439" s="85"/>
    </row>
    <row r="1440" spans="1:1" x14ac:dyDescent="0.2">
      <c r="A1440" s="85"/>
    </row>
    <row r="1441" spans="1:1" x14ac:dyDescent="0.2">
      <c r="A1441" s="85"/>
    </row>
    <row r="1442" spans="1:1" x14ac:dyDescent="0.2">
      <c r="A1442" s="85"/>
    </row>
    <row r="1443" spans="1:1" x14ac:dyDescent="0.2">
      <c r="A1443" s="85"/>
    </row>
    <row r="1444" spans="1:1" x14ac:dyDescent="0.2">
      <c r="A1444" s="85"/>
    </row>
    <row r="1445" spans="1:1" x14ac:dyDescent="0.2">
      <c r="A1445" s="85"/>
    </row>
    <row r="1446" spans="1:1" x14ac:dyDescent="0.2">
      <c r="A1446" s="85"/>
    </row>
    <row r="1447" spans="1:1" x14ac:dyDescent="0.2">
      <c r="A1447" s="85"/>
    </row>
    <row r="1448" spans="1:1" x14ac:dyDescent="0.2">
      <c r="A1448" s="85"/>
    </row>
    <row r="1449" spans="1:1" x14ac:dyDescent="0.2">
      <c r="A1449" s="85"/>
    </row>
    <row r="1450" spans="1:1" x14ac:dyDescent="0.2">
      <c r="A1450" s="85"/>
    </row>
    <row r="1451" spans="1:1" x14ac:dyDescent="0.2">
      <c r="A1451" s="85"/>
    </row>
    <row r="1452" spans="1:1" x14ac:dyDescent="0.2">
      <c r="A1452" s="85"/>
    </row>
    <row r="1453" spans="1:1" x14ac:dyDescent="0.2">
      <c r="A1453" s="85"/>
    </row>
    <row r="1454" spans="1:1" x14ac:dyDescent="0.2">
      <c r="A1454" s="85"/>
    </row>
    <row r="1455" spans="1:1" x14ac:dyDescent="0.2">
      <c r="A1455" s="85"/>
    </row>
    <row r="1456" spans="1:1" x14ac:dyDescent="0.2">
      <c r="A1456" s="85"/>
    </row>
    <row r="1457" spans="1:1" x14ac:dyDescent="0.2">
      <c r="A1457" s="85"/>
    </row>
    <row r="1458" spans="1:1" x14ac:dyDescent="0.2">
      <c r="A1458" s="85"/>
    </row>
    <row r="1459" spans="1:1" x14ac:dyDescent="0.2">
      <c r="A1459" s="85"/>
    </row>
    <row r="1460" spans="1:1" x14ac:dyDescent="0.2">
      <c r="A1460" s="85"/>
    </row>
    <row r="1461" spans="1:1" x14ac:dyDescent="0.2">
      <c r="A1461" s="85"/>
    </row>
    <row r="1462" spans="1:1" x14ac:dyDescent="0.2">
      <c r="A1462" s="85"/>
    </row>
    <row r="1463" spans="1:1" x14ac:dyDescent="0.2">
      <c r="A1463" s="85"/>
    </row>
    <row r="1464" spans="1:1" x14ac:dyDescent="0.2">
      <c r="A1464" s="85"/>
    </row>
    <row r="1465" spans="1:1" x14ac:dyDescent="0.2">
      <c r="A1465" s="85"/>
    </row>
    <row r="1466" spans="1:1" x14ac:dyDescent="0.2">
      <c r="A1466" s="85"/>
    </row>
    <row r="1467" spans="1:1" x14ac:dyDescent="0.2">
      <c r="A1467" s="85"/>
    </row>
    <row r="1468" spans="1:1" x14ac:dyDescent="0.2">
      <c r="A1468" s="85"/>
    </row>
    <row r="1469" spans="1:1" x14ac:dyDescent="0.2">
      <c r="A1469" s="85"/>
    </row>
    <row r="1470" spans="1:1" x14ac:dyDescent="0.2">
      <c r="A1470" s="85"/>
    </row>
    <row r="1471" spans="1:1" x14ac:dyDescent="0.2">
      <c r="A1471" s="85"/>
    </row>
    <row r="1472" spans="1:1" x14ac:dyDescent="0.2">
      <c r="A1472" s="85"/>
    </row>
    <row r="1473" spans="1:1" x14ac:dyDescent="0.2">
      <c r="A1473" s="85"/>
    </row>
    <row r="1474" spans="1:1" x14ac:dyDescent="0.2">
      <c r="A1474" s="85"/>
    </row>
    <row r="1475" spans="1:1" x14ac:dyDescent="0.2">
      <c r="A1475" s="85"/>
    </row>
    <row r="1476" spans="1:1" x14ac:dyDescent="0.2">
      <c r="A1476" s="85"/>
    </row>
    <row r="1477" spans="1:1" x14ac:dyDescent="0.2">
      <c r="A1477" s="85"/>
    </row>
    <row r="1478" spans="1:1" x14ac:dyDescent="0.2">
      <c r="A1478" s="85"/>
    </row>
    <row r="1479" spans="1:1" x14ac:dyDescent="0.2">
      <c r="A1479" s="85"/>
    </row>
    <row r="1480" spans="1:1" x14ac:dyDescent="0.2">
      <c r="A1480" s="85"/>
    </row>
    <row r="1481" spans="1:1" x14ac:dyDescent="0.2">
      <c r="A1481" s="85"/>
    </row>
    <row r="1482" spans="1:1" x14ac:dyDescent="0.2">
      <c r="A1482" s="85"/>
    </row>
    <row r="1483" spans="1:1" x14ac:dyDescent="0.2">
      <c r="A1483" s="85"/>
    </row>
    <row r="1484" spans="1:1" x14ac:dyDescent="0.2">
      <c r="A1484" s="85"/>
    </row>
    <row r="1485" spans="1:1" x14ac:dyDescent="0.2">
      <c r="A1485" s="85"/>
    </row>
    <row r="1486" spans="1:1" x14ac:dyDescent="0.2">
      <c r="A1486" s="85"/>
    </row>
    <row r="1487" spans="1:1" x14ac:dyDescent="0.2">
      <c r="A1487" s="85"/>
    </row>
    <row r="1488" spans="1:1" x14ac:dyDescent="0.2">
      <c r="A1488" s="85"/>
    </row>
    <row r="1489" spans="1:1" x14ac:dyDescent="0.2">
      <c r="A1489" s="85"/>
    </row>
    <row r="1490" spans="1:1" x14ac:dyDescent="0.2">
      <c r="A1490" s="85"/>
    </row>
    <row r="1491" spans="1:1" x14ac:dyDescent="0.2">
      <c r="A1491" s="85"/>
    </row>
    <row r="1492" spans="1:1" x14ac:dyDescent="0.2">
      <c r="A1492" s="85"/>
    </row>
    <row r="1493" spans="1:1" x14ac:dyDescent="0.2">
      <c r="A1493" s="85"/>
    </row>
    <row r="1494" spans="1:1" x14ac:dyDescent="0.2">
      <c r="A1494" s="85"/>
    </row>
    <row r="1495" spans="1:1" x14ac:dyDescent="0.2">
      <c r="A1495" s="85"/>
    </row>
    <row r="1496" spans="1:1" x14ac:dyDescent="0.2">
      <c r="A1496" s="85"/>
    </row>
    <row r="1497" spans="1:1" x14ac:dyDescent="0.2">
      <c r="A1497" s="85"/>
    </row>
    <row r="1498" spans="1:1" x14ac:dyDescent="0.2">
      <c r="A1498" s="85"/>
    </row>
    <row r="1499" spans="1:1" x14ac:dyDescent="0.2">
      <c r="A1499" s="85"/>
    </row>
    <row r="1500" spans="1:1" x14ac:dyDescent="0.2">
      <c r="A1500" s="85"/>
    </row>
    <row r="1501" spans="1:1" x14ac:dyDescent="0.2">
      <c r="A1501" s="85"/>
    </row>
    <row r="1502" spans="1:1" x14ac:dyDescent="0.2">
      <c r="A1502" s="85"/>
    </row>
    <row r="1503" spans="1:1" x14ac:dyDescent="0.2">
      <c r="A1503" s="85"/>
    </row>
    <row r="1504" spans="1:1" x14ac:dyDescent="0.2">
      <c r="A1504" s="85"/>
    </row>
    <row r="1505" spans="1:1" x14ac:dyDescent="0.2">
      <c r="A1505" s="85"/>
    </row>
    <row r="1506" spans="1:1" x14ac:dyDescent="0.2">
      <c r="A1506" s="85"/>
    </row>
    <row r="1507" spans="1:1" x14ac:dyDescent="0.2">
      <c r="A1507" s="85"/>
    </row>
    <row r="1508" spans="1:1" x14ac:dyDescent="0.2">
      <c r="A1508" s="85"/>
    </row>
    <row r="1509" spans="1:1" x14ac:dyDescent="0.2">
      <c r="A1509" s="85"/>
    </row>
    <row r="1510" spans="1:1" x14ac:dyDescent="0.2">
      <c r="A1510" s="85"/>
    </row>
    <row r="1511" spans="1:1" x14ac:dyDescent="0.2">
      <c r="A1511" s="85"/>
    </row>
    <row r="1512" spans="1:1" x14ac:dyDescent="0.2">
      <c r="A1512" s="85"/>
    </row>
    <row r="1513" spans="1:1" x14ac:dyDescent="0.2">
      <c r="A1513" s="85"/>
    </row>
    <row r="1514" spans="1:1" x14ac:dyDescent="0.2">
      <c r="A1514" s="85"/>
    </row>
    <row r="1515" spans="1:1" x14ac:dyDescent="0.2">
      <c r="A1515" s="85"/>
    </row>
    <row r="1516" spans="1:1" x14ac:dyDescent="0.2">
      <c r="A1516" s="85"/>
    </row>
    <row r="1517" spans="1:1" x14ac:dyDescent="0.2">
      <c r="A1517" s="85"/>
    </row>
    <row r="1518" spans="1:1" x14ac:dyDescent="0.2">
      <c r="A1518" s="85"/>
    </row>
    <row r="1519" spans="1:1" x14ac:dyDescent="0.2">
      <c r="A1519" s="85"/>
    </row>
    <row r="1520" spans="1:1" x14ac:dyDescent="0.2">
      <c r="A1520" s="85"/>
    </row>
    <row r="1521" spans="1:1" x14ac:dyDescent="0.2">
      <c r="A1521" s="85"/>
    </row>
    <row r="1522" spans="1:1" x14ac:dyDescent="0.2">
      <c r="A1522" s="85"/>
    </row>
    <row r="1523" spans="1:1" x14ac:dyDescent="0.2">
      <c r="A1523" s="85"/>
    </row>
    <row r="1524" spans="1:1" x14ac:dyDescent="0.2">
      <c r="A1524" s="85"/>
    </row>
    <row r="1525" spans="1:1" x14ac:dyDescent="0.2">
      <c r="A1525" s="85"/>
    </row>
    <row r="1526" spans="1:1" x14ac:dyDescent="0.2">
      <c r="A1526" s="85"/>
    </row>
    <row r="1527" spans="1:1" x14ac:dyDescent="0.2">
      <c r="A1527" s="85"/>
    </row>
    <row r="1528" spans="1:1" x14ac:dyDescent="0.2">
      <c r="A1528" s="85"/>
    </row>
    <row r="1529" spans="1:1" x14ac:dyDescent="0.2">
      <c r="A1529" s="85"/>
    </row>
    <row r="1530" spans="1:1" x14ac:dyDescent="0.2">
      <c r="A1530" s="85"/>
    </row>
    <row r="1531" spans="1:1" x14ac:dyDescent="0.2">
      <c r="A1531" s="85"/>
    </row>
    <row r="1532" spans="1:1" x14ac:dyDescent="0.2">
      <c r="A1532" s="85"/>
    </row>
    <row r="1533" spans="1:1" x14ac:dyDescent="0.2">
      <c r="A1533" s="85"/>
    </row>
    <row r="1534" spans="1:1" x14ac:dyDescent="0.2">
      <c r="A1534" s="85"/>
    </row>
    <row r="1535" spans="1:1" x14ac:dyDescent="0.2">
      <c r="A1535" s="85"/>
    </row>
    <row r="1536" spans="1:1" x14ac:dyDescent="0.2">
      <c r="A1536" s="85"/>
    </row>
    <row r="1537" spans="1:1" x14ac:dyDescent="0.2">
      <c r="A1537" s="85"/>
    </row>
    <row r="1538" spans="1:1" x14ac:dyDescent="0.2">
      <c r="A1538" s="85"/>
    </row>
    <row r="1539" spans="1:1" x14ac:dyDescent="0.2">
      <c r="A1539" s="85"/>
    </row>
    <row r="1540" spans="1:1" x14ac:dyDescent="0.2">
      <c r="A1540" s="85"/>
    </row>
    <row r="1541" spans="1:1" x14ac:dyDescent="0.2">
      <c r="A1541" s="85"/>
    </row>
    <row r="1542" spans="1:1" x14ac:dyDescent="0.2">
      <c r="A1542" s="85"/>
    </row>
    <row r="1543" spans="1:1" x14ac:dyDescent="0.2">
      <c r="A1543" s="85"/>
    </row>
    <row r="1544" spans="1:1" x14ac:dyDescent="0.2">
      <c r="A1544" s="85"/>
    </row>
    <row r="1545" spans="1:1" x14ac:dyDescent="0.2">
      <c r="A1545" s="85"/>
    </row>
    <row r="1546" spans="1:1" x14ac:dyDescent="0.2">
      <c r="A1546" s="85"/>
    </row>
    <row r="1547" spans="1:1" x14ac:dyDescent="0.2">
      <c r="A1547" s="85"/>
    </row>
    <row r="1548" spans="1:1" x14ac:dyDescent="0.2">
      <c r="A1548" s="85"/>
    </row>
    <row r="1549" spans="1:1" x14ac:dyDescent="0.2">
      <c r="A1549" s="85"/>
    </row>
    <row r="1550" spans="1:1" x14ac:dyDescent="0.2">
      <c r="A1550" s="85"/>
    </row>
    <row r="1551" spans="1:1" x14ac:dyDescent="0.2">
      <c r="A1551" s="85"/>
    </row>
    <row r="1552" spans="1:1" x14ac:dyDescent="0.2">
      <c r="A1552" s="85"/>
    </row>
    <row r="1553" spans="1:1" x14ac:dyDescent="0.2">
      <c r="A1553" s="85"/>
    </row>
    <row r="1554" spans="1:1" x14ac:dyDescent="0.2">
      <c r="A1554" s="85"/>
    </row>
    <row r="1555" spans="1:1" x14ac:dyDescent="0.2">
      <c r="A1555" s="85"/>
    </row>
    <row r="1556" spans="1:1" x14ac:dyDescent="0.2">
      <c r="A1556" s="85"/>
    </row>
    <row r="1557" spans="1:1" x14ac:dyDescent="0.2">
      <c r="A1557" s="85"/>
    </row>
    <row r="1558" spans="1:1" x14ac:dyDescent="0.2">
      <c r="A1558" s="85"/>
    </row>
    <row r="1559" spans="1:1" x14ac:dyDescent="0.2">
      <c r="A1559" s="85"/>
    </row>
    <row r="1560" spans="1:1" x14ac:dyDescent="0.2">
      <c r="A1560" s="85"/>
    </row>
    <row r="1561" spans="1:1" x14ac:dyDescent="0.2">
      <c r="A1561" s="85"/>
    </row>
    <row r="1562" spans="1:1" x14ac:dyDescent="0.2">
      <c r="A1562" s="85"/>
    </row>
    <row r="1563" spans="1:1" x14ac:dyDescent="0.2">
      <c r="A1563" s="85"/>
    </row>
    <row r="1564" spans="1:1" x14ac:dyDescent="0.2">
      <c r="A1564" s="85"/>
    </row>
    <row r="1565" spans="1:1" x14ac:dyDescent="0.2">
      <c r="A1565" s="85"/>
    </row>
    <row r="1566" spans="1:1" x14ac:dyDescent="0.2">
      <c r="A1566" s="85"/>
    </row>
    <row r="1567" spans="1:1" x14ac:dyDescent="0.2">
      <c r="A1567" s="85"/>
    </row>
    <row r="1568" spans="1:1" x14ac:dyDescent="0.2">
      <c r="A1568" s="85"/>
    </row>
    <row r="1569" spans="1:1" x14ac:dyDescent="0.2">
      <c r="A1569" s="85"/>
    </row>
    <row r="1570" spans="1:1" x14ac:dyDescent="0.2">
      <c r="A1570" s="85"/>
    </row>
    <row r="1571" spans="1:1" x14ac:dyDescent="0.2">
      <c r="A1571" s="85"/>
    </row>
    <row r="1572" spans="1:1" x14ac:dyDescent="0.2">
      <c r="A1572" s="85"/>
    </row>
    <row r="1573" spans="1:1" x14ac:dyDescent="0.2">
      <c r="A1573" s="85"/>
    </row>
    <row r="1574" spans="1:1" x14ac:dyDescent="0.2">
      <c r="A1574" s="85"/>
    </row>
    <row r="1575" spans="1:1" x14ac:dyDescent="0.2">
      <c r="A1575" s="85"/>
    </row>
    <row r="1576" spans="1:1" x14ac:dyDescent="0.2">
      <c r="A1576" s="85"/>
    </row>
    <row r="1577" spans="1:1" x14ac:dyDescent="0.2">
      <c r="A1577" s="85"/>
    </row>
    <row r="1578" spans="1:1" x14ac:dyDescent="0.2">
      <c r="A1578" s="85"/>
    </row>
    <row r="1579" spans="1:1" x14ac:dyDescent="0.2">
      <c r="A1579" s="85"/>
    </row>
    <row r="1580" spans="1:1" x14ac:dyDescent="0.2">
      <c r="A1580" s="85"/>
    </row>
    <row r="1581" spans="1:1" x14ac:dyDescent="0.2">
      <c r="A1581" s="85"/>
    </row>
    <row r="1582" spans="1:1" x14ac:dyDescent="0.2">
      <c r="A1582" s="85"/>
    </row>
    <row r="1583" spans="1:1" x14ac:dyDescent="0.2">
      <c r="A1583" s="85"/>
    </row>
    <row r="1584" spans="1:1" x14ac:dyDescent="0.2">
      <c r="A1584" s="85"/>
    </row>
    <row r="1585" spans="1:1" x14ac:dyDescent="0.2">
      <c r="A1585" s="85"/>
    </row>
    <row r="1586" spans="1:1" x14ac:dyDescent="0.2">
      <c r="A1586" s="85"/>
    </row>
    <row r="1587" spans="1:1" x14ac:dyDescent="0.2">
      <c r="A1587" s="85"/>
    </row>
    <row r="1588" spans="1:1" x14ac:dyDescent="0.2">
      <c r="A1588" s="85"/>
    </row>
    <row r="1589" spans="1:1" x14ac:dyDescent="0.2">
      <c r="A1589" s="85"/>
    </row>
    <row r="1590" spans="1:1" x14ac:dyDescent="0.2">
      <c r="A1590" s="85"/>
    </row>
    <row r="1591" spans="1:1" x14ac:dyDescent="0.2">
      <c r="A1591" s="85"/>
    </row>
    <row r="1592" spans="1:1" x14ac:dyDescent="0.2">
      <c r="A1592" s="85"/>
    </row>
    <row r="1593" spans="1:1" x14ac:dyDescent="0.2">
      <c r="A1593" s="85"/>
    </row>
    <row r="1594" spans="1:1" x14ac:dyDescent="0.2">
      <c r="A1594" s="85"/>
    </row>
    <row r="1595" spans="1:1" x14ac:dyDescent="0.2">
      <c r="A1595" s="85"/>
    </row>
    <row r="1596" spans="1:1" x14ac:dyDescent="0.2">
      <c r="A1596" s="85"/>
    </row>
    <row r="1597" spans="1:1" x14ac:dyDescent="0.2">
      <c r="A1597" s="85"/>
    </row>
    <row r="1598" spans="1:1" x14ac:dyDescent="0.2">
      <c r="A1598" s="85"/>
    </row>
    <row r="1599" spans="1:1" x14ac:dyDescent="0.2">
      <c r="A1599" s="85"/>
    </row>
    <row r="1600" spans="1:1" x14ac:dyDescent="0.2">
      <c r="A1600" s="85"/>
    </row>
    <row r="1601" spans="1:1" x14ac:dyDescent="0.2">
      <c r="A1601" s="85"/>
    </row>
    <row r="1602" spans="1:1" x14ac:dyDescent="0.2">
      <c r="A1602" s="85"/>
    </row>
    <row r="1603" spans="1:1" x14ac:dyDescent="0.2">
      <c r="A1603" s="85"/>
    </row>
    <row r="1604" spans="1:1" x14ac:dyDescent="0.2">
      <c r="A1604" s="85"/>
    </row>
    <row r="1605" spans="1:1" x14ac:dyDescent="0.2">
      <c r="A1605" s="85"/>
    </row>
    <row r="1606" spans="1:1" x14ac:dyDescent="0.2">
      <c r="A1606" s="85"/>
    </row>
    <row r="1607" spans="1:1" x14ac:dyDescent="0.2">
      <c r="A1607" s="85"/>
    </row>
    <row r="1608" spans="1:1" x14ac:dyDescent="0.2">
      <c r="A1608" s="85"/>
    </row>
    <row r="1609" spans="1:1" x14ac:dyDescent="0.2">
      <c r="A1609" s="85"/>
    </row>
    <row r="1610" spans="1:1" x14ac:dyDescent="0.2">
      <c r="A1610" s="85"/>
    </row>
    <row r="1611" spans="1:1" x14ac:dyDescent="0.2">
      <c r="A1611" s="85"/>
    </row>
    <row r="1612" spans="1:1" x14ac:dyDescent="0.2">
      <c r="A1612" s="85"/>
    </row>
    <row r="1613" spans="1:1" x14ac:dyDescent="0.2">
      <c r="A1613" s="85"/>
    </row>
    <row r="1614" spans="1:1" x14ac:dyDescent="0.2">
      <c r="A1614" s="85"/>
    </row>
    <row r="1615" spans="1:1" x14ac:dyDescent="0.2">
      <c r="A1615" s="85"/>
    </row>
    <row r="1616" spans="1:1" x14ac:dyDescent="0.2">
      <c r="A1616" s="85"/>
    </row>
    <row r="1617" spans="1:1" x14ac:dyDescent="0.2">
      <c r="A1617" s="85"/>
    </row>
    <row r="1618" spans="1:1" x14ac:dyDescent="0.2">
      <c r="A1618" s="85"/>
    </row>
    <row r="1619" spans="1:1" x14ac:dyDescent="0.2">
      <c r="A1619" s="85"/>
    </row>
    <row r="1620" spans="1:1" x14ac:dyDescent="0.2">
      <c r="A1620" s="85"/>
    </row>
    <row r="1621" spans="1:1" x14ac:dyDescent="0.2">
      <c r="A1621" s="85"/>
    </row>
    <row r="1622" spans="1:1" x14ac:dyDescent="0.2">
      <c r="A1622" s="85"/>
    </row>
    <row r="1623" spans="1:1" x14ac:dyDescent="0.2">
      <c r="A1623" s="85"/>
    </row>
    <row r="1624" spans="1:1" x14ac:dyDescent="0.2">
      <c r="A1624" s="85"/>
    </row>
    <row r="1625" spans="1:1" x14ac:dyDescent="0.2">
      <c r="A1625" s="85"/>
    </row>
    <row r="1626" spans="1:1" x14ac:dyDescent="0.2">
      <c r="A1626" s="85"/>
    </row>
    <row r="1627" spans="1:1" x14ac:dyDescent="0.2">
      <c r="A1627" s="85"/>
    </row>
    <row r="1628" spans="1:1" x14ac:dyDescent="0.2">
      <c r="A1628" s="85"/>
    </row>
    <row r="1629" spans="1:1" x14ac:dyDescent="0.2">
      <c r="A1629" s="85"/>
    </row>
    <row r="1630" spans="1:1" x14ac:dyDescent="0.2">
      <c r="A1630" s="85"/>
    </row>
    <row r="1631" spans="1:1" x14ac:dyDescent="0.2">
      <c r="A1631" s="85"/>
    </row>
    <row r="1632" spans="1:1" x14ac:dyDescent="0.2">
      <c r="A1632" s="85"/>
    </row>
    <row r="1633" spans="1:1" x14ac:dyDescent="0.2">
      <c r="A1633" s="85"/>
    </row>
    <row r="1634" spans="1:1" x14ac:dyDescent="0.2">
      <c r="A1634" s="85"/>
    </row>
    <row r="1635" spans="1:1" x14ac:dyDescent="0.2">
      <c r="A1635" s="85"/>
    </row>
    <row r="1636" spans="1:1" x14ac:dyDescent="0.2">
      <c r="A1636" s="85"/>
    </row>
    <row r="1637" spans="1:1" x14ac:dyDescent="0.2">
      <c r="A1637" s="85"/>
    </row>
    <row r="1638" spans="1:1" x14ac:dyDescent="0.2">
      <c r="A1638" s="85"/>
    </row>
    <row r="1639" spans="1:1" x14ac:dyDescent="0.2">
      <c r="A1639" s="85"/>
    </row>
    <row r="1640" spans="1:1" x14ac:dyDescent="0.2">
      <c r="A1640" s="85"/>
    </row>
    <row r="1641" spans="1:1" x14ac:dyDescent="0.2">
      <c r="A1641" s="85"/>
    </row>
    <row r="1642" spans="1:1" x14ac:dyDescent="0.2">
      <c r="A1642" s="85"/>
    </row>
    <row r="1643" spans="1:1" x14ac:dyDescent="0.2">
      <c r="A1643" s="85"/>
    </row>
    <row r="1644" spans="1:1" x14ac:dyDescent="0.2">
      <c r="A1644" s="85"/>
    </row>
    <row r="1645" spans="1:1" x14ac:dyDescent="0.2">
      <c r="A1645" s="85"/>
    </row>
    <row r="1646" spans="1:1" x14ac:dyDescent="0.2">
      <c r="A1646" s="85"/>
    </row>
    <row r="1647" spans="1:1" x14ac:dyDescent="0.2">
      <c r="A1647" s="85"/>
    </row>
    <row r="1648" spans="1:1" x14ac:dyDescent="0.2">
      <c r="A1648" s="85"/>
    </row>
    <row r="1649" spans="1:1" x14ac:dyDescent="0.2">
      <c r="A1649" s="85"/>
    </row>
    <row r="1650" spans="1:1" x14ac:dyDescent="0.2">
      <c r="A1650" s="85"/>
    </row>
    <row r="1651" spans="1:1" x14ac:dyDescent="0.2">
      <c r="A1651" s="85"/>
    </row>
    <row r="1652" spans="1:1" x14ac:dyDescent="0.2">
      <c r="A1652" s="85"/>
    </row>
    <row r="1653" spans="1:1" x14ac:dyDescent="0.2">
      <c r="A1653" s="85"/>
    </row>
    <row r="1654" spans="1:1" x14ac:dyDescent="0.2">
      <c r="A1654" s="85"/>
    </row>
    <row r="1655" spans="1:1" x14ac:dyDescent="0.2">
      <c r="A1655" s="85"/>
    </row>
    <row r="1656" spans="1:1" x14ac:dyDescent="0.2">
      <c r="A1656" s="85"/>
    </row>
    <row r="1657" spans="1:1" x14ac:dyDescent="0.2">
      <c r="A1657" s="85"/>
    </row>
    <row r="1658" spans="1:1" x14ac:dyDescent="0.2">
      <c r="A1658" s="85"/>
    </row>
    <row r="1659" spans="1:1" x14ac:dyDescent="0.2">
      <c r="A1659" s="85"/>
    </row>
    <row r="1660" spans="1:1" x14ac:dyDescent="0.2">
      <c r="A1660" s="85"/>
    </row>
    <row r="1661" spans="1:1" x14ac:dyDescent="0.2">
      <c r="A1661" s="85"/>
    </row>
    <row r="1662" spans="1:1" x14ac:dyDescent="0.2">
      <c r="A1662" s="85"/>
    </row>
    <row r="1663" spans="1:1" x14ac:dyDescent="0.2">
      <c r="A1663" s="85"/>
    </row>
    <row r="1664" spans="1:1" x14ac:dyDescent="0.2">
      <c r="A1664" s="85"/>
    </row>
    <row r="1665" spans="1:1" x14ac:dyDescent="0.2">
      <c r="A1665" s="85"/>
    </row>
    <row r="1666" spans="1:1" x14ac:dyDescent="0.2">
      <c r="A1666" s="85"/>
    </row>
    <row r="1667" spans="1:1" x14ac:dyDescent="0.2">
      <c r="A1667" s="85"/>
    </row>
    <row r="1668" spans="1:1" x14ac:dyDescent="0.2">
      <c r="A1668" s="85"/>
    </row>
    <row r="1669" spans="1:1" x14ac:dyDescent="0.2">
      <c r="A1669" s="85"/>
    </row>
    <row r="1670" spans="1:1" x14ac:dyDescent="0.2">
      <c r="A1670" s="85"/>
    </row>
    <row r="1671" spans="1:1" x14ac:dyDescent="0.2">
      <c r="A1671" s="85"/>
    </row>
    <row r="1672" spans="1:1" x14ac:dyDescent="0.2">
      <c r="A1672" s="85"/>
    </row>
    <row r="1673" spans="1:1" x14ac:dyDescent="0.2">
      <c r="A1673" s="85"/>
    </row>
    <row r="1674" spans="1:1" x14ac:dyDescent="0.2">
      <c r="A1674" s="85"/>
    </row>
    <row r="1675" spans="1:1" x14ac:dyDescent="0.2">
      <c r="A1675" s="85"/>
    </row>
    <row r="1676" spans="1:1" x14ac:dyDescent="0.2">
      <c r="A1676" s="85"/>
    </row>
    <row r="1677" spans="1:1" x14ac:dyDescent="0.2">
      <c r="A1677" s="85"/>
    </row>
    <row r="1678" spans="1:1" x14ac:dyDescent="0.2">
      <c r="A1678" s="85"/>
    </row>
    <row r="1679" spans="1:1" x14ac:dyDescent="0.2">
      <c r="A1679" s="85"/>
    </row>
    <row r="1680" spans="1:1" x14ac:dyDescent="0.2">
      <c r="A1680" s="85"/>
    </row>
    <row r="1681" spans="1:1" x14ac:dyDescent="0.2">
      <c r="A1681" s="85"/>
    </row>
    <row r="1682" spans="1:1" x14ac:dyDescent="0.2">
      <c r="A1682" s="85"/>
    </row>
    <row r="1683" spans="1:1" x14ac:dyDescent="0.2">
      <c r="A1683" s="85"/>
    </row>
    <row r="1684" spans="1:1" x14ac:dyDescent="0.2">
      <c r="A1684" s="85"/>
    </row>
    <row r="1685" spans="1:1" x14ac:dyDescent="0.2">
      <c r="A1685" s="85"/>
    </row>
    <row r="1686" spans="1:1" x14ac:dyDescent="0.2">
      <c r="A1686" s="85"/>
    </row>
    <row r="1687" spans="1:1" x14ac:dyDescent="0.2">
      <c r="A1687" s="85"/>
    </row>
    <row r="1688" spans="1:1" x14ac:dyDescent="0.2">
      <c r="A1688" s="85"/>
    </row>
    <row r="1689" spans="1:1" x14ac:dyDescent="0.2">
      <c r="A1689" s="85"/>
    </row>
    <row r="1690" spans="1:1" x14ac:dyDescent="0.2">
      <c r="A1690" s="85"/>
    </row>
    <row r="1691" spans="1:1" x14ac:dyDescent="0.2">
      <c r="A1691" s="85"/>
    </row>
    <row r="1692" spans="1:1" x14ac:dyDescent="0.2">
      <c r="A1692" s="85"/>
    </row>
    <row r="1693" spans="1:1" x14ac:dyDescent="0.2">
      <c r="A1693" s="85"/>
    </row>
    <row r="1694" spans="1:1" x14ac:dyDescent="0.2">
      <c r="A1694" s="85"/>
    </row>
    <row r="1695" spans="1:1" x14ac:dyDescent="0.2">
      <c r="A1695" s="85"/>
    </row>
    <row r="1696" spans="1:1" x14ac:dyDescent="0.2">
      <c r="A1696" s="85"/>
    </row>
    <row r="1697" spans="1:1" x14ac:dyDescent="0.2">
      <c r="A1697" s="85"/>
    </row>
    <row r="1698" spans="1:1" x14ac:dyDescent="0.2">
      <c r="A1698" s="85"/>
    </row>
    <row r="1699" spans="1:1" x14ac:dyDescent="0.2">
      <c r="A1699" s="85"/>
    </row>
    <row r="1700" spans="1:1" x14ac:dyDescent="0.2">
      <c r="A1700" s="85"/>
    </row>
    <row r="1701" spans="1:1" x14ac:dyDescent="0.2">
      <c r="A1701" s="85"/>
    </row>
    <row r="1702" spans="1:1" x14ac:dyDescent="0.2">
      <c r="A1702" s="85"/>
    </row>
    <row r="1703" spans="1:1" x14ac:dyDescent="0.2">
      <c r="A1703" s="85"/>
    </row>
    <row r="1704" spans="1:1" x14ac:dyDescent="0.2">
      <c r="A1704" s="85"/>
    </row>
    <row r="1705" spans="1:1" x14ac:dyDescent="0.2">
      <c r="A1705" s="85"/>
    </row>
    <row r="1706" spans="1:1" x14ac:dyDescent="0.2">
      <c r="A1706" s="85"/>
    </row>
    <row r="1707" spans="1:1" x14ac:dyDescent="0.2">
      <c r="A1707" s="85"/>
    </row>
    <row r="1708" spans="1:1" x14ac:dyDescent="0.2">
      <c r="A1708" s="85"/>
    </row>
    <row r="1709" spans="1:1" x14ac:dyDescent="0.2">
      <c r="A1709" s="85"/>
    </row>
    <row r="1710" spans="1:1" x14ac:dyDescent="0.2">
      <c r="A1710" s="85"/>
    </row>
    <row r="1711" spans="1:1" x14ac:dyDescent="0.2">
      <c r="A1711" s="85"/>
    </row>
    <row r="1712" spans="1:1" x14ac:dyDescent="0.2">
      <c r="A1712" s="85"/>
    </row>
    <row r="1713" spans="1:1" x14ac:dyDescent="0.2">
      <c r="A1713" s="85"/>
    </row>
    <row r="1714" spans="1:1" x14ac:dyDescent="0.2">
      <c r="A1714" s="85"/>
    </row>
    <row r="1715" spans="1:1" x14ac:dyDescent="0.2">
      <c r="A1715" s="85"/>
    </row>
    <row r="1716" spans="1:1" x14ac:dyDescent="0.2">
      <c r="A1716" s="85"/>
    </row>
    <row r="1717" spans="1:1" x14ac:dyDescent="0.2">
      <c r="A1717" s="85"/>
    </row>
    <row r="1718" spans="1:1" x14ac:dyDescent="0.2">
      <c r="A1718" s="85"/>
    </row>
    <row r="1719" spans="1:1" x14ac:dyDescent="0.2">
      <c r="A1719" s="85"/>
    </row>
    <row r="1720" spans="1:1" x14ac:dyDescent="0.2">
      <c r="A1720" s="85"/>
    </row>
    <row r="1721" spans="1:1" x14ac:dyDescent="0.2">
      <c r="A1721" s="85"/>
    </row>
    <row r="1722" spans="1:1" x14ac:dyDescent="0.2">
      <c r="A1722" s="85"/>
    </row>
    <row r="1723" spans="1:1" x14ac:dyDescent="0.2">
      <c r="A1723" s="85"/>
    </row>
    <row r="1724" spans="1:1" x14ac:dyDescent="0.2">
      <c r="A1724" s="85"/>
    </row>
    <row r="1725" spans="1:1" x14ac:dyDescent="0.2">
      <c r="A1725" s="85"/>
    </row>
    <row r="1726" spans="1:1" x14ac:dyDescent="0.2">
      <c r="A1726" s="85"/>
    </row>
    <row r="1727" spans="1:1" x14ac:dyDescent="0.2">
      <c r="A1727" s="85"/>
    </row>
    <row r="1728" spans="1:1" x14ac:dyDescent="0.2">
      <c r="A1728" s="85"/>
    </row>
    <row r="1729" spans="1:1" x14ac:dyDescent="0.2">
      <c r="A1729" s="85"/>
    </row>
    <row r="1730" spans="1:1" x14ac:dyDescent="0.2">
      <c r="A1730" s="85"/>
    </row>
    <row r="1731" spans="1:1" x14ac:dyDescent="0.2">
      <c r="A1731" s="85"/>
    </row>
    <row r="1732" spans="1:1" x14ac:dyDescent="0.2">
      <c r="A1732" s="85"/>
    </row>
    <row r="1733" spans="1:1" x14ac:dyDescent="0.2">
      <c r="A1733" s="85"/>
    </row>
    <row r="1734" spans="1:1" x14ac:dyDescent="0.2">
      <c r="A1734" s="85"/>
    </row>
    <row r="1735" spans="1:1" x14ac:dyDescent="0.2">
      <c r="A1735" s="85"/>
    </row>
    <row r="1736" spans="1:1" x14ac:dyDescent="0.2">
      <c r="A1736" s="85"/>
    </row>
    <row r="1737" spans="1:1" x14ac:dyDescent="0.2">
      <c r="A1737" s="85"/>
    </row>
    <row r="1738" spans="1:1" x14ac:dyDescent="0.2">
      <c r="A1738" s="85"/>
    </row>
    <row r="1739" spans="1:1" x14ac:dyDescent="0.2">
      <c r="A1739" s="85"/>
    </row>
    <row r="1740" spans="1:1" x14ac:dyDescent="0.2">
      <c r="A1740" s="85"/>
    </row>
    <row r="1741" spans="1:1" x14ac:dyDescent="0.2">
      <c r="A1741" s="85"/>
    </row>
    <row r="1742" spans="1:1" x14ac:dyDescent="0.2">
      <c r="A1742" s="85"/>
    </row>
    <row r="1743" spans="1:1" x14ac:dyDescent="0.2">
      <c r="A1743" s="85"/>
    </row>
    <row r="1744" spans="1:1" x14ac:dyDescent="0.2">
      <c r="A1744" s="85"/>
    </row>
    <row r="1745" spans="1:1" x14ac:dyDescent="0.2">
      <c r="A1745" s="85"/>
    </row>
    <row r="1746" spans="1:1" x14ac:dyDescent="0.2">
      <c r="A1746" s="85"/>
    </row>
    <row r="1747" spans="1:1" x14ac:dyDescent="0.2">
      <c r="A1747" s="85"/>
    </row>
    <row r="1748" spans="1:1" x14ac:dyDescent="0.2">
      <c r="A1748" s="85"/>
    </row>
    <row r="1749" spans="1:1" x14ac:dyDescent="0.2">
      <c r="A1749" s="85"/>
    </row>
    <row r="1750" spans="1:1" x14ac:dyDescent="0.2">
      <c r="A1750" s="85"/>
    </row>
    <row r="1751" spans="1:1" x14ac:dyDescent="0.2">
      <c r="A1751" s="85"/>
    </row>
    <row r="1752" spans="1:1" x14ac:dyDescent="0.2">
      <c r="A1752" s="85"/>
    </row>
    <row r="1753" spans="1:1" x14ac:dyDescent="0.2">
      <c r="A1753" s="85"/>
    </row>
    <row r="1754" spans="1:1" x14ac:dyDescent="0.2">
      <c r="A1754" s="85"/>
    </row>
    <row r="1755" spans="1:1" x14ac:dyDescent="0.2">
      <c r="A1755" s="85"/>
    </row>
    <row r="1756" spans="1:1" x14ac:dyDescent="0.2">
      <c r="A1756" s="85"/>
    </row>
    <row r="1757" spans="1:1" x14ac:dyDescent="0.2">
      <c r="A1757" s="85"/>
    </row>
    <row r="1758" spans="1:1" x14ac:dyDescent="0.2">
      <c r="A1758" s="85"/>
    </row>
    <row r="1759" spans="1:1" x14ac:dyDescent="0.2">
      <c r="A1759" s="85"/>
    </row>
    <row r="1760" spans="1:1" x14ac:dyDescent="0.2">
      <c r="A1760" s="85"/>
    </row>
    <row r="1761" spans="1:1" x14ac:dyDescent="0.2">
      <c r="A1761" s="85"/>
    </row>
    <row r="1762" spans="1:1" x14ac:dyDescent="0.2">
      <c r="A1762" s="85"/>
    </row>
    <row r="1763" spans="1:1" x14ac:dyDescent="0.2">
      <c r="A1763" s="85"/>
    </row>
    <row r="1764" spans="1:1" x14ac:dyDescent="0.2">
      <c r="A1764" s="85"/>
    </row>
    <row r="1765" spans="1:1" x14ac:dyDescent="0.2">
      <c r="A1765" s="85"/>
    </row>
    <row r="1766" spans="1:1" x14ac:dyDescent="0.2">
      <c r="A1766" s="85"/>
    </row>
    <row r="1767" spans="1:1" x14ac:dyDescent="0.2">
      <c r="A1767" s="85"/>
    </row>
    <row r="1768" spans="1:1" x14ac:dyDescent="0.2">
      <c r="A1768" s="85"/>
    </row>
    <row r="1769" spans="1:1" x14ac:dyDescent="0.2">
      <c r="A1769" s="85"/>
    </row>
    <row r="1770" spans="1:1" x14ac:dyDescent="0.2">
      <c r="A1770" s="85"/>
    </row>
    <row r="1771" spans="1:1" x14ac:dyDescent="0.2">
      <c r="A1771" s="85"/>
    </row>
    <row r="1772" spans="1:1" x14ac:dyDescent="0.2">
      <c r="A1772" s="85"/>
    </row>
    <row r="1773" spans="1:1" x14ac:dyDescent="0.2">
      <c r="A1773" s="85"/>
    </row>
    <row r="1774" spans="1:1" x14ac:dyDescent="0.2">
      <c r="A1774" s="85"/>
    </row>
    <row r="1775" spans="1:1" x14ac:dyDescent="0.2">
      <c r="A1775" s="85"/>
    </row>
    <row r="1776" spans="1:1" x14ac:dyDescent="0.2">
      <c r="A1776" s="85"/>
    </row>
    <row r="1777" spans="1:1" x14ac:dyDescent="0.2">
      <c r="A1777" s="85"/>
    </row>
    <row r="1778" spans="1:1" x14ac:dyDescent="0.2">
      <c r="A1778" s="85"/>
    </row>
    <row r="1779" spans="1:1" x14ac:dyDescent="0.2">
      <c r="A1779" s="85"/>
    </row>
    <row r="1780" spans="1:1" x14ac:dyDescent="0.2">
      <c r="A1780" s="85"/>
    </row>
    <row r="1781" spans="1:1" x14ac:dyDescent="0.2">
      <c r="A1781" s="85"/>
    </row>
    <row r="1782" spans="1:1" x14ac:dyDescent="0.2">
      <c r="A1782" s="85"/>
    </row>
    <row r="1783" spans="1:1" x14ac:dyDescent="0.2">
      <c r="A1783" s="85"/>
    </row>
    <row r="1784" spans="1:1" x14ac:dyDescent="0.2">
      <c r="A1784" s="85"/>
    </row>
    <row r="1785" spans="1:1" x14ac:dyDescent="0.2">
      <c r="A1785" s="85"/>
    </row>
    <row r="1786" spans="1:1" x14ac:dyDescent="0.2">
      <c r="A1786" s="85"/>
    </row>
    <row r="1787" spans="1:1" x14ac:dyDescent="0.2">
      <c r="A1787" s="85"/>
    </row>
    <row r="1788" spans="1:1" x14ac:dyDescent="0.2">
      <c r="A1788" s="85"/>
    </row>
    <row r="1789" spans="1:1" x14ac:dyDescent="0.2">
      <c r="A1789" s="85"/>
    </row>
    <row r="1790" spans="1:1" x14ac:dyDescent="0.2">
      <c r="A1790" s="85"/>
    </row>
    <row r="1791" spans="1:1" x14ac:dyDescent="0.2">
      <c r="A1791" s="85"/>
    </row>
    <row r="1792" spans="1:1" x14ac:dyDescent="0.2">
      <c r="A1792" s="85"/>
    </row>
    <row r="1793" spans="1:1" x14ac:dyDescent="0.2">
      <c r="A1793" s="85"/>
    </row>
    <row r="1794" spans="1:1" x14ac:dyDescent="0.2">
      <c r="A1794" s="85"/>
    </row>
    <row r="1795" spans="1:1" x14ac:dyDescent="0.2">
      <c r="A1795" s="85"/>
    </row>
    <row r="1796" spans="1:1" x14ac:dyDescent="0.2">
      <c r="A1796" s="85"/>
    </row>
    <row r="1797" spans="1:1" x14ac:dyDescent="0.2">
      <c r="A1797" s="85"/>
    </row>
    <row r="1798" spans="1:1" x14ac:dyDescent="0.2">
      <c r="A1798" s="85"/>
    </row>
    <row r="1799" spans="1:1" x14ac:dyDescent="0.2">
      <c r="A1799" s="85"/>
    </row>
    <row r="1800" spans="1:1" x14ac:dyDescent="0.2">
      <c r="A1800" s="85"/>
    </row>
    <row r="1801" spans="1:1" x14ac:dyDescent="0.2">
      <c r="A1801" s="85"/>
    </row>
    <row r="1802" spans="1:1" x14ac:dyDescent="0.2">
      <c r="A1802" s="85"/>
    </row>
    <row r="1803" spans="1:1" x14ac:dyDescent="0.2">
      <c r="A1803" s="85"/>
    </row>
    <row r="1804" spans="1:1" x14ac:dyDescent="0.2">
      <c r="A1804" s="85"/>
    </row>
    <row r="1805" spans="1:1" x14ac:dyDescent="0.2">
      <c r="A1805" s="85"/>
    </row>
    <row r="1806" spans="1:1" x14ac:dyDescent="0.2">
      <c r="A1806" s="85"/>
    </row>
    <row r="1807" spans="1:1" x14ac:dyDescent="0.2">
      <c r="A1807" s="85"/>
    </row>
    <row r="1808" spans="1:1" x14ac:dyDescent="0.2">
      <c r="A1808" s="85"/>
    </row>
    <row r="1809" spans="1:1" x14ac:dyDescent="0.2">
      <c r="A1809" s="85"/>
    </row>
    <row r="1810" spans="1:1" x14ac:dyDescent="0.2">
      <c r="A1810" s="85"/>
    </row>
    <row r="1811" spans="1:1" x14ac:dyDescent="0.2">
      <c r="A1811" s="85"/>
    </row>
    <row r="1812" spans="1:1" x14ac:dyDescent="0.2">
      <c r="A1812" s="85"/>
    </row>
    <row r="1813" spans="1:1" x14ac:dyDescent="0.2">
      <c r="A1813" s="85"/>
    </row>
    <row r="1814" spans="1:1" x14ac:dyDescent="0.2">
      <c r="A1814" s="85"/>
    </row>
    <row r="1815" spans="1:1" x14ac:dyDescent="0.2">
      <c r="A1815" s="85"/>
    </row>
    <row r="1816" spans="1:1" x14ac:dyDescent="0.2">
      <c r="A1816" s="85"/>
    </row>
    <row r="1817" spans="1:1" x14ac:dyDescent="0.2">
      <c r="A1817" s="85"/>
    </row>
    <row r="1818" spans="1:1" x14ac:dyDescent="0.2">
      <c r="A1818" s="85"/>
    </row>
    <row r="1819" spans="1:1" x14ac:dyDescent="0.2">
      <c r="A1819" s="85"/>
    </row>
    <row r="1820" spans="1:1" x14ac:dyDescent="0.2">
      <c r="A1820" s="85"/>
    </row>
    <row r="1821" spans="1:1" x14ac:dyDescent="0.2">
      <c r="A1821" s="85"/>
    </row>
    <row r="1822" spans="1:1" x14ac:dyDescent="0.2">
      <c r="A1822" s="85"/>
    </row>
    <row r="1823" spans="1:1" x14ac:dyDescent="0.2">
      <c r="A1823" s="85"/>
    </row>
    <row r="1824" spans="1:1" x14ac:dyDescent="0.2">
      <c r="A1824" s="85"/>
    </row>
    <row r="1825" spans="1:1" x14ac:dyDescent="0.2">
      <c r="A1825" s="85"/>
    </row>
    <row r="1826" spans="1:1" x14ac:dyDescent="0.2">
      <c r="A1826" s="85"/>
    </row>
    <row r="1827" spans="1:1" x14ac:dyDescent="0.2">
      <c r="A1827" s="85"/>
    </row>
    <row r="1828" spans="1:1" x14ac:dyDescent="0.2">
      <c r="A1828" s="85"/>
    </row>
    <row r="1829" spans="1:1" x14ac:dyDescent="0.2">
      <c r="A1829" s="85"/>
    </row>
    <row r="1830" spans="1:1" x14ac:dyDescent="0.2">
      <c r="A1830" s="85"/>
    </row>
    <row r="1831" spans="1:1" x14ac:dyDescent="0.2">
      <c r="A1831" s="85"/>
    </row>
    <row r="1832" spans="1:1" x14ac:dyDescent="0.2">
      <c r="A1832" s="85"/>
    </row>
    <row r="1833" spans="1:1" x14ac:dyDescent="0.2">
      <c r="A1833" s="85"/>
    </row>
    <row r="1834" spans="1:1" x14ac:dyDescent="0.2">
      <c r="A1834" s="85"/>
    </row>
    <row r="1835" spans="1:1" x14ac:dyDescent="0.2">
      <c r="A1835" s="85"/>
    </row>
    <row r="1836" spans="1:1" x14ac:dyDescent="0.2">
      <c r="A1836" s="85"/>
    </row>
    <row r="1837" spans="1:1" x14ac:dyDescent="0.2">
      <c r="A1837" s="85"/>
    </row>
    <row r="1838" spans="1:1" x14ac:dyDescent="0.2">
      <c r="A1838" s="85"/>
    </row>
    <row r="1839" spans="1:1" x14ac:dyDescent="0.2">
      <c r="A1839" s="85"/>
    </row>
    <row r="1840" spans="1:1" x14ac:dyDescent="0.2">
      <c r="A1840" s="85"/>
    </row>
    <row r="1841" spans="1:1" x14ac:dyDescent="0.2">
      <c r="A1841" s="85"/>
    </row>
    <row r="1842" spans="1:1" x14ac:dyDescent="0.2">
      <c r="A1842" s="85"/>
    </row>
    <row r="1843" spans="1:1" x14ac:dyDescent="0.2">
      <c r="A1843" s="85"/>
    </row>
    <row r="1844" spans="1:1" x14ac:dyDescent="0.2">
      <c r="A1844" s="85"/>
    </row>
    <row r="1845" spans="1:1" x14ac:dyDescent="0.2">
      <c r="A1845" s="85"/>
    </row>
    <row r="1846" spans="1:1" x14ac:dyDescent="0.2">
      <c r="A1846" s="85"/>
    </row>
    <row r="1847" spans="1:1" x14ac:dyDescent="0.2">
      <c r="A1847" s="85"/>
    </row>
    <row r="1848" spans="1:1" x14ac:dyDescent="0.2">
      <c r="A1848" s="85"/>
    </row>
    <row r="1849" spans="1:1" x14ac:dyDescent="0.2">
      <c r="A1849" s="85"/>
    </row>
    <row r="1850" spans="1:1" x14ac:dyDescent="0.2">
      <c r="A1850" s="85"/>
    </row>
    <row r="1851" spans="1:1" x14ac:dyDescent="0.2">
      <c r="A1851" s="85"/>
    </row>
    <row r="1852" spans="1:1" x14ac:dyDescent="0.2">
      <c r="A1852" s="85"/>
    </row>
    <row r="1853" spans="1:1" x14ac:dyDescent="0.2">
      <c r="A1853" s="85"/>
    </row>
    <row r="1854" spans="1:1" x14ac:dyDescent="0.2">
      <c r="A1854" s="85"/>
    </row>
    <row r="1855" spans="1:1" x14ac:dyDescent="0.2">
      <c r="A1855" s="85"/>
    </row>
    <row r="1856" spans="1:1" x14ac:dyDescent="0.2">
      <c r="A1856" s="85"/>
    </row>
    <row r="1857" spans="1:1" x14ac:dyDescent="0.2">
      <c r="A1857" s="85"/>
    </row>
    <row r="1858" spans="1:1" x14ac:dyDescent="0.2">
      <c r="A1858" s="85"/>
    </row>
    <row r="1859" spans="1:1" x14ac:dyDescent="0.2">
      <c r="A1859" s="85"/>
    </row>
    <row r="1860" spans="1:1" x14ac:dyDescent="0.2">
      <c r="A1860" s="85"/>
    </row>
    <row r="1861" spans="1:1" x14ac:dyDescent="0.2">
      <c r="A1861" s="85"/>
    </row>
    <row r="1862" spans="1:1" x14ac:dyDescent="0.2">
      <c r="A1862" s="85"/>
    </row>
    <row r="1863" spans="1:1" x14ac:dyDescent="0.2">
      <c r="A1863" s="85"/>
    </row>
    <row r="1864" spans="1:1" x14ac:dyDescent="0.2">
      <c r="A1864" s="85"/>
    </row>
    <row r="1865" spans="1:1" x14ac:dyDescent="0.2">
      <c r="A1865" s="85"/>
    </row>
    <row r="1866" spans="1:1" x14ac:dyDescent="0.2">
      <c r="A1866" s="85"/>
    </row>
    <row r="1867" spans="1:1" x14ac:dyDescent="0.2">
      <c r="A1867" s="85"/>
    </row>
    <row r="1868" spans="1:1" x14ac:dyDescent="0.2">
      <c r="A1868" s="85"/>
    </row>
    <row r="1869" spans="1:1" x14ac:dyDescent="0.2">
      <c r="A1869" s="85"/>
    </row>
    <row r="1870" spans="1:1" x14ac:dyDescent="0.2">
      <c r="A1870" s="85"/>
    </row>
    <row r="1871" spans="1:1" x14ac:dyDescent="0.2">
      <c r="A1871" s="85"/>
    </row>
    <row r="1872" spans="1:1" x14ac:dyDescent="0.2">
      <c r="A1872" s="85"/>
    </row>
    <row r="1873" spans="1:1" x14ac:dyDescent="0.2">
      <c r="A1873" s="85"/>
    </row>
    <row r="1874" spans="1:1" x14ac:dyDescent="0.2">
      <c r="A1874" s="85"/>
    </row>
    <row r="1875" spans="1:1" x14ac:dyDescent="0.2">
      <c r="A1875" s="85"/>
    </row>
    <row r="1876" spans="1:1" x14ac:dyDescent="0.2">
      <c r="A1876" s="85"/>
    </row>
    <row r="1877" spans="1:1" x14ac:dyDescent="0.2">
      <c r="A1877" s="85"/>
    </row>
    <row r="1878" spans="1:1" x14ac:dyDescent="0.2">
      <c r="A1878" s="85"/>
    </row>
    <row r="1879" spans="1:1" x14ac:dyDescent="0.2">
      <c r="A1879" s="85"/>
    </row>
    <row r="1880" spans="1:1" x14ac:dyDescent="0.2">
      <c r="A1880" s="85"/>
    </row>
    <row r="1881" spans="1:1" x14ac:dyDescent="0.2">
      <c r="A1881" s="85"/>
    </row>
    <row r="1882" spans="1:1" x14ac:dyDescent="0.2">
      <c r="A1882" s="85"/>
    </row>
    <row r="1883" spans="1:1" x14ac:dyDescent="0.2">
      <c r="A1883" s="85"/>
    </row>
    <row r="1884" spans="1:1" x14ac:dyDescent="0.2">
      <c r="A1884" s="85"/>
    </row>
    <row r="1885" spans="1:1" x14ac:dyDescent="0.2">
      <c r="A1885" s="85"/>
    </row>
    <row r="1886" spans="1:1" x14ac:dyDescent="0.2">
      <c r="A1886" s="85"/>
    </row>
    <row r="1887" spans="1:1" x14ac:dyDescent="0.2">
      <c r="A1887" s="85"/>
    </row>
    <row r="1888" spans="1:1" x14ac:dyDescent="0.2">
      <c r="A1888" s="85"/>
    </row>
    <row r="1889" spans="1:1" x14ac:dyDescent="0.2">
      <c r="A1889" s="85"/>
    </row>
    <row r="1890" spans="1:1" x14ac:dyDescent="0.2">
      <c r="A1890" s="85"/>
    </row>
    <row r="1891" spans="1:1" x14ac:dyDescent="0.2">
      <c r="A1891" s="85"/>
    </row>
    <row r="1892" spans="1:1" x14ac:dyDescent="0.2">
      <c r="A1892" s="85"/>
    </row>
    <row r="1893" spans="1:1" x14ac:dyDescent="0.2">
      <c r="A1893" s="85"/>
    </row>
    <row r="1894" spans="1:1" x14ac:dyDescent="0.2">
      <c r="A1894" s="85"/>
    </row>
    <row r="1895" spans="1:1" x14ac:dyDescent="0.2">
      <c r="A1895" s="85"/>
    </row>
    <row r="1896" spans="1:1" x14ac:dyDescent="0.2">
      <c r="A1896" s="85"/>
    </row>
    <row r="1897" spans="1:1" x14ac:dyDescent="0.2">
      <c r="A1897" s="85"/>
    </row>
    <row r="1898" spans="1:1" x14ac:dyDescent="0.2">
      <c r="A1898" s="85"/>
    </row>
    <row r="1899" spans="1:1" x14ac:dyDescent="0.2">
      <c r="A1899" s="85"/>
    </row>
    <row r="1900" spans="1:1" x14ac:dyDescent="0.2">
      <c r="A1900" s="85"/>
    </row>
    <row r="1901" spans="1:1" x14ac:dyDescent="0.2">
      <c r="A1901" s="85"/>
    </row>
    <row r="1902" spans="1:1" x14ac:dyDescent="0.2">
      <c r="A1902" s="85"/>
    </row>
    <row r="1903" spans="1:1" x14ac:dyDescent="0.2">
      <c r="A1903" s="85"/>
    </row>
    <row r="1904" spans="1:1" x14ac:dyDescent="0.2">
      <c r="A1904" s="85"/>
    </row>
    <row r="1905" spans="1:1" x14ac:dyDescent="0.2">
      <c r="A1905" s="85"/>
    </row>
    <row r="1906" spans="1:1" x14ac:dyDescent="0.2">
      <c r="A1906" s="85"/>
    </row>
    <row r="1907" spans="1:1" x14ac:dyDescent="0.2">
      <c r="A1907" s="85"/>
    </row>
    <row r="1908" spans="1:1" x14ac:dyDescent="0.2">
      <c r="A1908" s="85"/>
    </row>
    <row r="1909" spans="1:1" x14ac:dyDescent="0.2">
      <c r="A1909" s="85"/>
    </row>
    <row r="1910" spans="1:1" x14ac:dyDescent="0.2">
      <c r="A1910" s="85"/>
    </row>
    <row r="1911" spans="1:1" x14ac:dyDescent="0.2">
      <c r="A1911" s="85"/>
    </row>
    <row r="1912" spans="1:1" x14ac:dyDescent="0.2">
      <c r="A1912" s="85"/>
    </row>
    <row r="1913" spans="1:1" x14ac:dyDescent="0.2">
      <c r="A1913" s="85"/>
    </row>
    <row r="1914" spans="1:1" x14ac:dyDescent="0.2">
      <c r="A1914" s="85"/>
    </row>
    <row r="1915" spans="1:1" x14ac:dyDescent="0.2">
      <c r="A1915" s="85"/>
    </row>
    <row r="1916" spans="1:1" x14ac:dyDescent="0.2">
      <c r="A1916" s="85"/>
    </row>
    <row r="1917" spans="1:1" x14ac:dyDescent="0.2">
      <c r="A1917" s="85"/>
    </row>
    <row r="1918" spans="1:1" x14ac:dyDescent="0.2">
      <c r="A1918" s="85"/>
    </row>
    <row r="1919" spans="1:1" x14ac:dyDescent="0.2">
      <c r="A1919" s="85"/>
    </row>
    <row r="1920" spans="1:1" x14ac:dyDescent="0.2">
      <c r="A1920" s="85"/>
    </row>
    <row r="1921" spans="1:1" x14ac:dyDescent="0.2">
      <c r="A1921" s="85"/>
    </row>
    <row r="1922" spans="1:1" x14ac:dyDescent="0.2">
      <c r="A1922" s="85"/>
    </row>
    <row r="1923" spans="1:1" x14ac:dyDescent="0.2">
      <c r="A1923" s="85"/>
    </row>
    <row r="1924" spans="1:1" x14ac:dyDescent="0.2">
      <c r="A1924" s="85"/>
    </row>
    <row r="1925" spans="1:1" x14ac:dyDescent="0.2">
      <c r="A1925" s="85"/>
    </row>
    <row r="1926" spans="1:1" x14ac:dyDescent="0.2">
      <c r="A1926" s="85"/>
    </row>
    <row r="1927" spans="1:1" x14ac:dyDescent="0.2">
      <c r="A1927" s="85"/>
    </row>
    <row r="1928" spans="1:1" x14ac:dyDescent="0.2">
      <c r="A1928" s="85"/>
    </row>
    <row r="1929" spans="1:1" x14ac:dyDescent="0.2">
      <c r="A1929" s="85"/>
    </row>
    <row r="1930" spans="1:1" x14ac:dyDescent="0.2">
      <c r="A1930" s="85"/>
    </row>
    <row r="1931" spans="1:1" x14ac:dyDescent="0.2">
      <c r="A1931" s="85"/>
    </row>
    <row r="1932" spans="1:1" x14ac:dyDescent="0.2">
      <c r="A1932" s="85"/>
    </row>
    <row r="1933" spans="1:1" x14ac:dyDescent="0.2">
      <c r="A1933" s="85"/>
    </row>
    <row r="1934" spans="1:1" x14ac:dyDescent="0.2">
      <c r="A1934" s="85"/>
    </row>
    <row r="1935" spans="1:1" x14ac:dyDescent="0.2">
      <c r="A1935" s="85"/>
    </row>
    <row r="1936" spans="1:1" x14ac:dyDescent="0.2">
      <c r="A1936" s="85"/>
    </row>
    <row r="1937" spans="1:1" x14ac:dyDescent="0.2">
      <c r="A1937" s="85"/>
    </row>
    <row r="1938" spans="1:1" x14ac:dyDescent="0.2">
      <c r="A1938" s="85"/>
    </row>
    <row r="1939" spans="1:1" x14ac:dyDescent="0.2">
      <c r="A1939" s="85"/>
    </row>
    <row r="1940" spans="1:1" x14ac:dyDescent="0.2">
      <c r="A1940" s="85"/>
    </row>
    <row r="1941" spans="1:1" x14ac:dyDescent="0.2">
      <c r="A1941" s="85"/>
    </row>
    <row r="1942" spans="1:1" x14ac:dyDescent="0.2">
      <c r="A1942" s="85"/>
    </row>
    <row r="1943" spans="1:1" x14ac:dyDescent="0.2">
      <c r="A1943" s="85"/>
    </row>
    <row r="1944" spans="1:1" x14ac:dyDescent="0.2">
      <c r="A1944" s="85"/>
    </row>
    <row r="1945" spans="1:1" x14ac:dyDescent="0.2">
      <c r="A1945" s="85"/>
    </row>
    <row r="1946" spans="1:1" x14ac:dyDescent="0.2">
      <c r="A1946" s="85"/>
    </row>
    <row r="1947" spans="1:1" x14ac:dyDescent="0.2">
      <c r="A1947" s="85"/>
    </row>
    <row r="1948" spans="1:1" x14ac:dyDescent="0.2">
      <c r="A1948" s="85"/>
    </row>
    <row r="1949" spans="1:1" x14ac:dyDescent="0.2">
      <c r="A1949" s="85"/>
    </row>
    <row r="1950" spans="1:1" x14ac:dyDescent="0.2">
      <c r="A1950" s="85"/>
    </row>
    <row r="1951" spans="1:1" x14ac:dyDescent="0.2">
      <c r="A1951" s="85"/>
    </row>
    <row r="1952" spans="1:1" x14ac:dyDescent="0.2">
      <c r="A1952" s="85"/>
    </row>
    <row r="1953" spans="1:1" x14ac:dyDescent="0.2">
      <c r="A1953" s="85"/>
    </row>
    <row r="1954" spans="1:1" x14ac:dyDescent="0.2">
      <c r="A1954" s="85"/>
    </row>
    <row r="1955" spans="1:1" x14ac:dyDescent="0.2">
      <c r="A1955" s="85"/>
    </row>
    <row r="1956" spans="1:1" x14ac:dyDescent="0.2">
      <c r="A1956" s="85"/>
    </row>
    <row r="1957" spans="1:1" x14ac:dyDescent="0.2">
      <c r="A1957" s="85"/>
    </row>
    <row r="1958" spans="1:1" x14ac:dyDescent="0.2">
      <c r="A1958" s="85"/>
    </row>
    <row r="1959" spans="1:1" x14ac:dyDescent="0.2">
      <c r="A1959" s="85"/>
    </row>
    <row r="1960" spans="1:1" x14ac:dyDescent="0.2">
      <c r="A1960" s="85"/>
    </row>
    <row r="1961" spans="1:1" x14ac:dyDescent="0.2">
      <c r="A1961" s="85"/>
    </row>
    <row r="1962" spans="1:1" x14ac:dyDescent="0.2">
      <c r="A1962" s="85"/>
    </row>
    <row r="1963" spans="1:1" x14ac:dyDescent="0.2">
      <c r="A1963" s="85"/>
    </row>
    <row r="1964" spans="1:1" x14ac:dyDescent="0.2">
      <c r="A1964" s="85"/>
    </row>
    <row r="1965" spans="1:1" x14ac:dyDescent="0.2">
      <c r="A1965" s="85"/>
    </row>
    <row r="1966" spans="1:1" x14ac:dyDescent="0.2">
      <c r="A1966" s="85"/>
    </row>
    <row r="1967" spans="1:1" x14ac:dyDescent="0.2">
      <c r="A1967" s="85"/>
    </row>
    <row r="1968" spans="1:1" x14ac:dyDescent="0.2">
      <c r="A1968" s="85"/>
    </row>
    <row r="1969" spans="1:1" x14ac:dyDescent="0.2">
      <c r="A1969" s="85"/>
    </row>
    <row r="1970" spans="1:1" x14ac:dyDescent="0.2">
      <c r="A1970" s="85"/>
    </row>
    <row r="1971" spans="1:1" x14ac:dyDescent="0.2">
      <c r="A1971" s="85"/>
    </row>
    <row r="1972" spans="1:1" x14ac:dyDescent="0.2">
      <c r="A1972" s="85"/>
    </row>
    <row r="1973" spans="1:1" x14ac:dyDescent="0.2">
      <c r="A1973" s="85"/>
    </row>
    <row r="1974" spans="1:1" x14ac:dyDescent="0.2">
      <c r="A1974" s="85"/>
    </row>
    <row r="1975" spans="1:1" x14ac:dyDescent="0.2">
      <c r="A1975" s="85"/>
    </row>
    <row r="1976" spans="1:1" x14ac:dyDescent="0.2">
      <c r="A1976" s="85"/>
    </row>
    <row r="1977" spans="1:1" x14ac:dyDescent="0.2">
      <c r="A1977" s="85"/>
    </row>
    <row r="1978" spans="1:1" x14ac:dyDescent="0.2">
      <c r="A1978" s="85"/>
    </row>
    <row r="1979" spans="1:1" x14ac:dyDescent="0.2">
      <c r="A1979" s="85"/>
    </row>
    <row r="1980" spans="1:1" x14ac:dyDescent="0.2">
      <c r="A1980" s="85"/>
    </row>
    <row r="1981" spans="1:1" x14ac:dyDescent="0.2">
      <c r="A1981" s="85"/>
    </row>
    <row r="1982" spans="1:1" x14ac:dyDescent="0.2">
      <c r="A1982" s="85"/>
    </row>
    <row r="1983" spans="1:1" x14ac:dyDescent="0.2">
      <c r="A1983" s="85"/>
    </row>
    <row r="1984" spans="1:1" x14ac:dyDescent="0.2">
      <c r="A1984" s="85"/>
    </row>
    <row r="1985" spans="1:1" x14ac:dyDescent="0.2">
      <c r="A1985" s="85"/>
    </row>
    <row r="1986" spans="1:1" x14ac:dyDescent="0.2">
      <c r="A1986" s="85"/>
    </row>
    <row r="1987" spans="1:1" x14ac:dyDescent="0.2">
      <c r="A1987" s="85"/>
    </row>
    <row r="1988" spans="1:1" x14ac:dyDescent="0.2">
      <c r="A1988" s="85"/>
    </row>
    <row r="1989" spans="1:1" x14ac:dyDescent="0.2">
      <c r="A1989" s="85"/>
    </row>
    <row r="1990" spans="1:1" x14ac:dyDescent="0.2">
      <c r="A1990" s="85"/>
    </row>
    <row r="1991" spans="1:1" x14ac:dyDescent="0.2">
      <c r="A1991" s="85"/>
    </row>
    <row r="1992" spans="1:1" x14ac:dyDescent="0.2">
      <c r="A1992" s="85"/>
    </row>
    <row r="1993" spans="1:1" x14ac:dyDescent="0.2">
      <c r="A1993" s="85"/>
    </row>
    <row r="1994" spans="1:1" x14ac:dyDescent="0.2">
      <c r="A1994" s="85"/>
    </row>
    <row r="1995" spans="1:1" x14ac:dyDescent="0.2">
      <c r="A1995" s="85"/>
    </row>
    <row r="1996" spans="1:1" x14ac:dyDescent="0.2">
      <c r="A1996" s="85"/>
    </row>
    <row r="1997" spans="1:1" x14ac:dyDescent="0.2">
      <c r="A1997" s="85"/>
    </row>
    <row r="1998" spans="1:1" x14ac:dyDescent="0.2">
      <c r="A1998" s="85"/>
    </row>
    <row r="1999" spans="1:1" x14ac:dyDescent="0.2">
      <c r="A1999" s="85"/>
    </row>
    <row r="2000" spans="1:1" x14ac:dyDescent="0.2">
      <c r="A2000" s="85"/>
    </row>
    <row r="2001" spans="1:1" x14ac:dyDescent="0.2">
      <c r="A2001" s="85"/>
    </row>
    <row r="2002" spans="1:1" x14ac:dyDescent="0.2">
      <c r="A2002" s="85"/>
    </row>
    <row r="2003" spans="1:1" x14ac:dyDescent="0.2">
      <c r="A2003" s="85"/>
    </row>
    <row r="2004" spans="1:1" x14ac:dyDescent="0.2">
      <c r="A2004" s="85"/>
    </row>
    <row r="2005" spans="1:1" x14ac:dyDescent="0.2">
      <c r="A2005" s="85"/>
    </row>
    <row r="2006" spans="1:1" x14ac:dyDescent="0.2">
      <c r="A2006" s="85"/>
    </row>
    <row r="2007" spans="1:1" x14ac:dyDescent="0.2">
      <c r="A2007" s="85"/>
    </row>
    <row r="2008" spans="1:1" x14ac:dyDescent="0.2">
      <c r="A2008" s="85"/>
    </row>
    <row r="2009" spans="1:1" x14ac:dyDescent="0.2">
      <c r="A2009" s="85"/>
    </row>
    <row r="2010" spans="1:1" x14ac:dyDescent="0.2">
      <c r="A2010" s="85"/>
    </row>
    <row r="2011" spans="1:1" x14ac:dyDescent="0.2">
      <c r="A2011" s="85"/>
    </row>
    <row r="2012" spans="1:1" x14ac:dyDescent="0.2">
      <c r="A2012" s="85"/>
    </row>
    <row r="2013" spans="1:1" x14ac:dyDescent="0.2">
      <c r="A2013" s="85"/>
    </row>
    <row r="2014" spans="1:1" x14ac:dyDescent="0.2">
      <c r="A2014" s="85"/>
    </row>
    <row r="2015" spans="1:1" x14ac:dyDescent="0.2">
      <c r="A2015" s="85"/>
    </row>
    <row r="2016" spans="1:1" x14ac:dyDescent="0.2">
      <c r="A2016" s="85"/>
    </row>
    <row r="2017" spans="1:1" x14ac:dyDescent="0.2">
      <c r="A2017" s="85"/>
    </row>
    <row r="2018" spans="1:1" x14ac:dyDescent="0.2">
      <c r="A2018" s="85"/>
    </row>
    <row r="2019" spans="1:1" x14ac:dyDescent="0.2">
      <c r="A2019" s="85"/>
    </row>
    <row r="2020" spans="1:1" x14ac:dyDescent="0.2">
      <c r="A2020" s="85"/>
    </row>
    <row r="2021" spans="1:1" x14ac:dyDescent="0.2">
      <c r="A2021" s="85"/>
    </row>
    <row r="2022" spans="1:1" x14ac:dyDescent="0.2">
      <c r="A2022" s="85"/>
    </row>
    <row r="2023" spans="1:1" x14ac:dyDescent="0.2">
      <c r="A2023" s="85"/>
    </row>
    <row r="2024" spans="1:1" x14ac:dyDescent="0.2">
      <c r="A2024" s="85"/>
    </row>
    <row r="2025" spans="1:1" x14ac:dyDescent="0.2">
      <c r="A2025" s="85"/>
    </row>
    <row r="2026" spans="1:1" x14ac:dyDescent="0.2">
      <c r="A2026" s="85"/>
    </row>
    <row r="2027" spans="1:1" x14ac:dyDescent="0.2">
      <c r="A2027" s="85"/>
    </row>
    <row r="2028" spans="1:1" x14ac:dyDescent="0.2">
      <c r="A2028" s="85"/>
    </row>
    <row r="2029" spans="1:1" x14ac:dyDescent="0.2">
      <c r="A2029" s="85"/>
    </row>
    <row r="2030" spans="1:1" x14ac:dyDescent="0.2">
      <c r="A2030" s="85"/>
    </row>
    <row r="2031" spans="1:1" x14ac:dyDescent="0.2">
      <c r="A2031" s="85"/>
    </row>
    <row r="2032" spans="1:1" x14ac:dyDescent="0.2">
      <c r="A2032" s="85"/>
    </row>
    <row r="2033" spans="1:1" x14ac:dyDescent="0.2">
      <c r="A2033" s="85"/>
    </row>
    <row r="2034" spans="1:1" x14ac:dyDescent="0.2">
      <c r="A2034" s="85"/>
    </row>
    <row r="2035" spans="1:1" x14ac:dyDescent="0.2">
      <c r="A2035" s="85"/>
    </row>
    <row r="2036" spans="1:1" x14ac:dyDescent="0.2">
      <c r="A2036" s="85"/>
    </row>
    <row r="2037" spans="1:1" x14ac:dyDescent="0.2">
      <c r="A2037" s="85"/>
    </row>
    <row r="2038" spans="1:1" x14ac:dyDescent="0.2">
      <c r="A2038" s="85"/>
    </row>
    <row r="2039" spans="1:1" x14ac:dyDescent="0.2">
      <c r="A2039" s="85"/>
    </row>
    <row r="2040" spans="1:1" x14ac:dyDescent="0.2">
      <c r="A2040" s="85"/>
    </row>
    <row r="2041" spans="1:1" x14ac:dyDescent="0.2">
      <c r="A2041" s="85"/>
    </row>
    <row r="2042" spans="1:1" x14ac:dyDescent="0.2">
      <c r="A2042" s="85"/>
    </row>
    <row r="2043" spans="1:1" x14ac:dyDescent="0.2">
      <c r="A2043" s="85"/>
    </row>
    <row r="2044" spans="1:1" x14ac:dyDescent="0.2">
      <c r="A2044" s="85"/>
    </row>
    <row r="2045" spans="1:1" x14ac:dyDescent="0.2">
      <c r="A2045" s="85"/>
    </row>
    <row r="2046" spans="1:1" x14ac:dyDescent="0.2">
      <c r="A2046" s="85"/>
    </row>
    <row r="2047" spans="1:1" x14ac:dyDescent="0.2">
      <c r="A2047" s="85"/>
    </row>
    <row r="2048" spans="1:1" x14ac:dyDescent="0.2">
      <c r="A2048" s="85"/>
    </row>
    <row r="2049" spans="1:1" x14ac:dyDescent="0.2">
      <c r="A2049" s="85"/>
    </row>
    <row r="2050" spans="1:1" x14ac:dyDescent="0.2">
      <c r="A2050" s="85"/>
    </row>
    <row r="2051" spans="1:1" x14ac:dyDescent="0.2">
      <c r="A2051" s="85"/>
    </row>
    <row r="2052" spans="1:1" x14ac:dyDescent="0.2">
      <c r="A2052" s="85"/>
    </row>
    <row r="2053" spans="1:1" x14ac:dyDescent="0.2">
      <c r="A2053" s="85"/>
    </row>
    <row r="2054" spans="1:1" x14ac:dyDescent="0.2">
      <c r="A2054" s="85"/>
    </row>
    <row r="2055" spans="1:1" x14ac:dyDescent="0.2">
      <c r="A2055" s="85"/>
    </row>
    <row r="2056" spans="1:1" x14ac:dyDescent="0.2">
      <c r="A2056" s="85"/>
    </row>
    <row r="2057" spans="1:1" x14ac:dyDescent="0.2">
      <c r="A2057" s="85"/>
    </row>
    <row r="2058" spans="1:1" x14ac:dyDescent="0.2">
      <c r="A2058" s="85"/>
    </row>
    <row r="2059" spans="1:1" x14ac:dyDescent="0.2">
      <c r="A2059" s="85"/>
    </row>
    <row r="2060" spans="1:1" x14ac:dyDescent="0.2">
      <c r="A2060" s="85"/>
    </row>
    <row r="2061" spans="1:1" x14ac:dyDescent="0.2">
      <c r="A2061" s="85"/>
    </row>
    <row r="2062" spans="1:1" x14ac:dyDescent="0.2">
      <c r="A2062" s="85"/>
    </row>
    <row r="2063" spans="1:1" x14ac:dyDescent="0.2">
      <c r="A2063" s="85"/>
    </row>
    <row r="2064" spans="1:1" x14ac:dyDescent="0.2">
      <c r="A2064" s="85"/>
    </row>
    <row r="2065" spans="1:1" x14ac:dyDescent="0.2">
      <c r="A2065" s="85"/>
    </row>
    <row r="2066" spans="1:1" x14ac:dyDescent="0.2">
      <c r="A2066" s="85"/>
    </row>
    <row r="2067" spans="1:1" x14ac:dyDescent="0.2">
      <c r="A2067" s="85"/>
    </row>
    <row r="2068" spans="1:1" x14ac:dyDescent="0.2">
      <c r="A2068" s="85"/>
    </row>
    <row r="2069" spans="1:1" x14ac:dyDescent="0.2">
      <c r="A2069" s="85"/>
    </row>
    <row r="2070" spans="1:1" x14ac:dyDescent="0.2">
      <c r="A2070" s="85"/>
    </row>
    <row r="2071" spans="1:1" x14ac:dyDescent="0.2">
      <c r="A2071" s="85"/>
    </row>
    <row r="2072" spans="1:1" x14ac:dyDescent="0.2">
      <c r="A2072" s="85"/>
    </row>
    <row r="2073" spans="1:1" x14ac:dyDescent="0.2">
      <c r="A2073" s="85"/>
    </row>
    <row r="2074" spans="1:1" x14ac:dyDescent="0.2">
      <c r="A2074" s="85"/>
    </row>
    <row r="2075" spans="1:1" x14ac:dyDescent="0.2">
      <c r="A2075" s="85"/>
    </row>
    <row r="2076" spans="1:1" x14ac:dyDescent="0.2">
      <c r="A2076" s="85"/>
    </row>
    <row r="2077" spans="1:1" x14ac:dyDescent="0.2">
      <c r="A2077" s="85"/>
    </row>
    <row r="2078" spans="1:1" x14ac:dyDescent="0.2">
      <c r="A2078" s="85"/>
    </row>
    <row r="2079" spans="1:1" x14ac:dyDescent="0.2">
      <c r="A2079" s="85"/>
    </row>
    <row r="2080" spans="1:1" x14ac:dyDescent="0.2">
      <c r="A2080" s="85"/>
    </row>
    <row r="2081" spans="1:1" x14ac:dyDescent="0.2">
      <c r="A2081" s="85"/>
    </row>
    <row r="2082" spans="1:1" x14ac:dyDescent="0.2">
      <c r="A2082" s="85"/>
    </row>
    <row r="2083" spans="1:1" x14ac:dyDescent="0.2">
      <c r="A2083" s="85"/>
    </row>
    <row r="2084" spans="1:1" x14ac:dyDescent="0.2">
      <c r="A2084" s="85"/>
    </row>
    <row r="2085" spans="1:1" x14ac:dyDescent="0.2">
      <c r="A2085" s="85"/>
    </row>
    <row r="2086" spans="1:1" x14ac:dyDescent="0.2">
      <c r="A2086" s="85"/>
    </row>
    <row r="2087" spans="1:1" x14ac:dyDescent="0.2">
      <c r="A2087" s="85"/>
    </row>
    <row r="2088" spans="1:1" x14ac:dyDescent="0.2">
      <c r="A2088" s="85"/>
    </row>
    <row r="2089" spans="1:1" x14ac:dyDescent="0.2">
      <c r="A2089" s="85"/>
    </row>
    <row r="2090" spans="1:1" x14ac:dyDescent="0.2">
      <c r="A2090" s="85"/>
    </row>
    <row r="2091" spans="1:1" x14ac:dyDescent="0.2">
      <c r="A2091" s="85"/>
    </row>
    <row r="2092" spans="1:1" x14ac:dyDescent="0.2">
      <c r="A2092" s="85"/>
    </row>
    <row r="2093" spans="1:1" x14ac:dyDescent="0.2">
      <c r="A2093" s="85"/>
    </row>
    <row r="2094" spans="1:1" x14ac:dyDescent="0.2">
      <c r="A2094" s="85"/>
    </row>
    <row r="2095" spans="1:1" x14ac:dyDescent="0.2">
      <c r="A2095" s="85"/>
    </row>
    <row r="2096" spans="1:1" x14ac:dyDescent="0.2">
      <c r="A2096" s="85"/>
    </row>
    <row r="2097" spans="1:1" x14ac:dyDescent="0.2">
      <c r="A2097" s="85"/>
    </row>
    <row r="2098" spans="1:1" x14ac:dyDescent="0.2">
      <c r="A2098" s="85"/>
    </row>
    <row r="2099" spans="1:1" x14ac:dyDescent="0.2">
      <c r="A2099" s="85"/>
    </row>
    <row r="2100" spans="1:1" x14ac:dyDescent="0.2">
      <c r="A2100" s="85"/>
    </row>
    <row r="2101" spans="1:1" x14ac:dyDescent="0.2">
      <c r="A2101" s="85"/>
    </row>
    <row r="2102" spans="1:1" x14ac:dyDescent="0.2">
      <c r="A2102" s="85"/>
    </row>
    <row r="2103" spans="1:1" x14ac:dyDescent="0.2">
      <c r="A2103" s="85"/>
    </row>
    <row r="2104" spans="1:1" x14ac:dyDescent="0.2">
      <c r="A2104" s="85"/>
    </row>
    <row r="2105" spans="1:1" x14ac:dyDescent="0.2">
      <c r="A2105" s="85"/>
    </row>
    <row r="2106" spans="1:1" x14ac:dyDescent="0.2">
      <c r="A2106" s="85"/>
    </row>
    <row r="2107" spans="1:1" x14ac:dyDescent="0.2">
      <c r="A2107" s="85"/>
    </row>
    <row r="2108" spans="1:1" x14ac:dyDescent="0.2">
      <c r="A2108" s="85"/>
    </row>
    <row r="2109" spans="1:1" x14ac:dyDescent="0.2">
      <c r="A2109" s="85"/>
    </row>
    <row r="2110" spans="1:1" x14ac:dyDescent="0.2">
      <c r="A2110" s="85"/>
    </row>
    <row r="2111" spans="1:1" x14ac:dyDescent="0.2">
      <c r="A2111" s="85"/>
    </row>
    <row r="2112" spans="1:1" x14ac:dyDescent="0.2">
      <c r="A2112" s="85"/>
    </row>
    <row r="2113" spans="1:1" x14ac:dyDescent="0.2">
      <c r="A2113" s="85"/>
    </row>
    <row r="2114" spans="1:1" x14ac:dyDescent="0.2">
      <c r="A2114" s="85"/>
    </row>
    <row r="2115" spans="1:1" x14ac:dyDescent="0.2">
      <c r="A2115" s="85"/>
    </row>
    <row r="2116" spans="1:1" x14ac:dyDescent="0.2">
      <c r="A2116" s="85"/>
    </row>
    <row r="2117" spans="1:1" x14ac:dyDescent="0.2">
      <c r="A2117" s="85"/>
    </row>
    <row r="2118" spans="1:1" x14ac:dyDescent="0.2">
      <c r="A2118" s="85"/>
    </row>
    <row r="2119" spans="1:1" x14ac:dyDescent="0.2">
      <c r="A2119" s="85"/>
    </row>
    <row r="2120" spans="1:1" x14ac:dyDescent="0.2">
      <c r="A2120" s="85"/>
    </row>
    <row r="2121" spans="1:1" x14ac:dyDescent="0.2">
      <c r="A2121" s="85"/>
    </row>
    <row r="2122" spans="1:1" x14ac:dyDescent="0.2">
      <c r="A2122" s="85"/>
    </row>
    <row r="2123" spans="1:1" x14ac:dyDescent="0.2">
      <c r="A2123" s="85"/>
    </row>
    <row r="2124" spans="1:1" x14ac:dyDescent="0.2">
      <c r="A2124" s="85"/>
    </row>
    <row r="2125" spans="1:1" x14ac:dyDescent="0.2">
      <c r="A2125" s="85"/>
    </row>
    <row r="2126" spans="1:1" x14ac:dyDescent="0.2">
      <c r="A2126" s="85"/>
    </row>
    <row r="2127" spans="1:1" x14ac:dyDescent="0.2">
      <c r="A2127" s="85"/>
    </row>
    <row r="2128" spans="1:1" x14ac:dyDescent="0.2">
      <c r="A2128" s="85"/>
    </row>
    <row r="2129" spans="1:1" x14ac:dyDescent="0.2">
      <c r="A2129" s="85"/>
    </row>
    <row r="2130" spans="1:1" x14ac:dyDescent="0.2">
      <c r="A2130" s="85"/>
    </row>
    <row r="2131" spans="1:1" x14ac:dyDescent="0.2">
      <c r="A2131" s="85"/>
    </row>
    <row r="2132" spans="1:1" x14ac:dyDescent="0.2">
      <c r="A2132" s="85"/>
    </row>
    <row r="2133" spans="1:1" x14ac:dyDescent="0.2">
      <c r="A2133" s="85"/>
    </row>
    <row r="2134" spans="1:1" x14ac:dyDescent="0.2">
      <c r="A2134" s="85"/>
    </row>
    <row r="2135" spans="1:1" x14ac:dyDescent="0.2">
      <c r="A2135" s="85"/>
    </row>
    <row r="2136" spans="1:1" x14ac:dyDescent="0.2">
      <c r="A2136" s="85"/>
    </row>
    <row r="2137" spans="1:1" x14ac:dyDescent="0.2">
      <c r="A2137" s="85"/>
    </row>
    <row r="2138" spans="1:1" x14ac:dyDescent="0.2">
      <c r="A2138" s="85"/>
    </row>
    <row r="2139" spans="1:1" x14ac:dyDescent="0.2">
      <c r="A2139" s="85"/>
    </row>
    <row r="2140" spans="1:1" x14ac:dyDescent="0.2">
      <c r="A2140" s="85"/>
    </row>
    <row r="2141" spans="1:1" x14ac:dyDescent="0.2">
      <c r="A2141" s="85"/>
    </row>
    <row r="2142" spans="1:1" x14ac:dyDescent="0.2">
      <c r="A2142" s="85"/>
    </row>
    <row r="2143" spans="1:1" x14ac:dyDescent="0.2">
      <c r="A2143" s="85"/>
    </row>
    <row r="2144" spans="1:1" x14ac:dyDescent="0.2">
      <c r="A2144" s="85"/>
    </row>
    <row r="2145" spans="1:1" x14ac:dyDescent="0.2">
      <c r="A2145" s="85"/>
    </row>
    <row r="2146" spans="1:1" x14ac:dyDescent="0.2">
      <c r="A2146" s="85"/>
    </row>
    <row r="2147" spans="1:1" x14ac:dyDescent="0.2">
      <c r="A2147" s="85"/>
    </row>
    <row r="2148" spans="1:1" x14ac:dyDescent="0.2">
      <c r="A2148" s="85"/>
    </row>
    <row r="2149" spans="1:1" x14ac:dyDescent="0.2">
      <c r="A2149" s="85"/>
    </row>
    <row r="2150" spans="1:1" x14ac:dyDescent="0.2">
      <c r="A2150" s="85"/>
    </row>
    <row r="2151" spans="1:1" x14ac:dyDescent="0.2">
      <c r="A2151" s="85"/>
    </row>
    <row r="2152" spans="1:1" x14ac:dyDescent="0.2">
      <c r="A2152" s="85"/>
    </row>
    <row r="2153" spans="1:1" x14ac:dyDescent="0.2">
      <c r="A2153" s="85"/>
    </row>
    <row r="2154" spans="1:1" x14ac:dyDescent="0.2">
      <c r="A2154" s="85"/>
    </row>
    <row r="2155" spans="1:1" x14ac:dyDescent="0.2">
      <c r="A2155" s="85"/>
    </row>
    <row r="2156" spans="1:1" x14ac:dyDescent="0.2">
      <c r="A2156" s="85"/>
    </row>
    <row r="2157" spans="1:1" x14ac:dyDescent="0.2">
      <c r="A2157" s="85"/>
    </row>
    <row r="2158" spans="1:1" x14ac:dyDescent="0.2">
      <c r="A2158" s="85"/>
    </row>
    <row r="2159" spans="1:1" x14ac:dyDescent="0.2">
      <c r="A2159" s="85"/>
    </row>
    <row r="2160" spans="1:1" x14ac:dyDescent="0.2">
      <c r="A2160" s="85"/>
    </row>
    <row r="2161" spans="1:1" x14ac:dyDescent="0.2">
      <c r="A2161" s="85"/>
    </row>
    <row r="2162" spans="1:1" x14ac:dyDescent="0.2">
      <c r="A2162" s="85"/>
    </row>
    <row r="2163" spans="1:1" x14ac:dyDescent="0.2">
      <c r="A2163" s="85"/>
    </row>
    <row r="2164" spans="1:1" x14ac:dyDescent="0.2">
      <c r="A2164" s="85"/>
    </row>
    <row r="2165" spans="1:1" x14ac:dyDescent="0.2">
      <c r="A2165" s="85"/>
    </row>
    <row r="2166" spans="1:1" x14ac:dyDescent="0.2">
      <c r="A2166" s="85"/>
    </row>
    <row r="2167" spans="1:1" x14ac:dyDescent="0.2">
      <c r="A2167" s="85"/>
    </row>
    <row r="2168" spans="1:1" x14ac:dyDescent="0.2">
      <c r="A2168" s="85"/>
    </row>
    <row r="2169" spans="1:1" x14ac:dyDescent="0.2">
      <c r="A2169" s="85"/>
    </row>
    <row r="2170" spans="1:1" x14ac:dyDescent="0.2">
      <c r="A2170" s="85"/>
    </row>
    <row r="2171" spans="1:1" x14ac:dyDescent="0.2">
      <c r="A2171" s="85"/>
    </row>
    <row r="2172" spans="1:1" x14ac:dyDescent="0.2">
      <c r="A2172" s="85"/>
    </row>
    <row r="2173" spans="1:1" x14ac:dyDescent="0.2">
      <c r="A2173" s="85"/>
    </row>
    <row r="2174" spans="1:1" x14ac:dyDescent="0.2">
      <c r="A2174" s="85"/>
    </row>
    <row r="2175" spans="1:1" x14ac:dyDescent="0.2">
      <c r="A2175" s="85"/>
    </row>
    <row r="2176" spans="1:1" x14ac:dyDescent="0.2">
      <c r="A2176" s="85"/>
    </row>
    <row r="2177" spans="1:1" x14ac:dyDescent="0.2">
      <c r="A2177" s="85"/>
    </row>
    <row r="2178" spans="1:1" x14ac:dyDescent="0.2">
      <c r="A2178" s="85"/>
    </row>
    <row r="2179" spans="1:1" x14ac:dyDescent="0.2">
      <c r="A2179" s="85"/>
    </row>
    <row r="2180" spans="1:1" x14ac:dyDescent="0.2">
      <c r="A2180" s="85"/>
    </row>
    <row r="2181" spans="1:1" x14ac:dyDescent="0.2">
      <c r="A2181" s="85"/>
    </row>
    <row r="2182" spans="1:1" x14ac:dyDescent="0.2">
      <c r="A2182" s="85"/>
    </row>
    <row r="2183" spans="1:1" x14ac:dyDescent="0.2">
      <c r="A2183" s="85"/>
    </row>
    <row r="2184" spans="1:1" x14ac:dyDescent="0.2">
      <c r="A2184" s="85"/>
    </row>
    <row r="2185" spans="1:1" x14ac:dyDescent="0.2">
      <c r="A2185" s="85"/>
    </row>
    <row r="2186" spans="1:1" x14ac:dyDescent="0.2">
      <c r="A2186" s="85"/>
    </row>
    <row r="2187" spans="1:1" x14ac:dyDescent="0.2">
      <c r="A2187" s="85"/>
    </row>
    <row r="2188" spans="1:1" x14ac:dyDescent="0.2">
      <c r="A2188" s="85"/>
    </row>
    <row r="2189" spans="1:1" x14ac:dyDescent="0.2">
      <c r="A2189" s="85"/>
    </row>
    <row r="2190" spans="1:1" x14ac:dyDescent="0.2">
      <c r="A2190" s="85"/>
    </row>
    <row r="2191" spans="1:1" x14ac:dyDescent="0.2">
      <c r="A2191" s="85"/>
    </row>
    <row r="2192" spans="1:1" x14ac:dyDescent="0.2">
      <c r="A2192" s="85"/>
    </row>
    <row r="2193" spans="1:1" x14ac:dyDescent="0.2">
      <c r="A2193" s="85"/>
    </row>
    <row r="2194" spans="1:1" x14ac:dyDescent="0.2">
      <c r="A2194" s="85"/>
    </row>
    <row r="2195" spans="1:1" x14ac:dyDescent="0.2">
      <c r="A2195" s="85"/>
    </row>
    <row r="2196" spans="1:1" x14ac:dyDescent="0.2">
      <c r="A2196" s="85"/>
    </row>
    <row r="2197" spans="1:1" x14ac:dyDescent="0.2">
      <c r="A2197" s="85"/>
    </row>
    <row r="2198" spans="1:1" x14ac:dyDescent="0.2">
      <c r="A2198" s="85"/>
    </row>
    <row r="2199" spans="1:1" x14ac:dyDescent="0.2">
      <c r="A2199" s="85"/>
    </row>
    <row r="2200" spans="1:1" x14ac:dyDescent="0.2">
      <c r="A2200" s="85"/>
    </row>
    <row r="2201" spans="1:1" x14ac:dyDescent="0.2">
      <c r="A2201" s="85"/>
    </row>
    <row r="2202" spans="1:1" x14ac:dyDescent="0.2">
      <c r="A2202" s="85"/>
    </row>
    <row r="2203" spans="1:1" x14ac:dyDescent="0.2">
      <c r="A2203" s="85"/>
    </row>
    <row r="2204" spans="1:1" x14ac:dyDescent="0.2">
      <c r="A2204" s="85"/>
    </row>
    <row r="2205" spans="1:1" x14ac:dyDescent="0.2">
      <c r="A2205" s="85"/>
    </row>
    <row r="2206" spans="1:1" x14ac:dyDescent="0.2">
      <c r="A2206" s="85"/>
    </row>
    <row r="2207" spans="1:1" x14ac:dyDescent="0.2">
      <c r="A2207" s="85"/>
    </row>
    <row r="2208" spans="1:1" x14ac:dyDescent="0.2">
      <c r="A2208" s="85"/>
    </row>
    <row r="2209" spans="1:1" x14ac:dyDescent="0.2">
      <c r="A2209" s="85"/>
    </row>
    <row r="2210" spans="1:1" x14ac:dyDescent="0.2">
      <c r="A2210" s="85"/>
    </row>
    <row r="2211" spans="1:1" x14ac:dyDescent="0.2">
      <c r="A2211" s="85"/>
    </row>
    <row r="2212" spans="1:1" x14ac:dyDescent="0.2">
      <c r="A2212" s="85"/>
    </row>
    <row r="2213" spans="1:1" x14ac:dyDescent="0.2">
      <c r="A2213" s="85"/>
    </row>
    <row r="2214" spans="1:1" x14ac:dyDescent="0.2">
      <c r="A2214" s="85"/>
    </row>
    <row r="2215" spans="1:1" x14ac:dyDescent="0.2">
      <c r="A2215" s="85"/>
    </row>
    <row r="2216" spans="1:1" x14ac:dyDescent="0.2">
      <c r="A2216" s="85"/>
    </row>
    <row r="2217" spans="1:1" x14ac:dyDescent="0.2">
      <c r="A2217" s="85"/>
    </row>
    <row r="2218" spans="1:1" x14ac:dyDescent="0.2">
      <c r="A2218" s="85"/>
    </row>
    <row r="2219" spans="1:1" x14ac:dyDescent="0.2">
      <c r="A2219" s="85"/>
    </row>
    <row r="2220" spans="1:1" x14ac:dyDescent="0.2">
      <c r="A2220" s="85"/>
    </row>
    <row r="2221" spans="1:1" x14ac:dyDescent="0.2">
      <c r="A2221" s="85"/>
    </row>
    <row r="2222" spans="1:1" x14ac:dyDescent="0.2">
      <c r="A2222" s="85"/>
    </row>
    <row r="2223" spans="1:1" x14ac:dyDescent="0.2">
      <c r="A2223" s="85"/>
    </row>
    <row r="2224" spans="1:1" x14ac:dyDescent="0.2">
      <c r="A2224" s="85"/>
    </row>
    <row r="2225" spans="1:1" x14ac:dyDescent="0.2">
      <c r="A2225" s="85"/>
    </row>
    <row r="2226" spans="1:1" x14ac:dyDescent="0.2">
      <c r="A2226" s="85"/>
    </row>
    <row r="2227" spans="1:1" x14ac:dyDescent="0.2">
      <c r="A2227" s="85"/>
    </row>
    <row r="2228" spans="1:1" x14ac:dyDescent="0.2">
      <c r="A2228" s="85"/>
    </row>
    <row r="2229" spans="1:1" x14ac:dyDescent="0.2">
      <c r="A2229" s="85"/>
    </row>
    <row r="2230" spans="1:1" x14ac:dyDescent="0.2">
      <c r="A2230" s="85"/>
    </row>
    <row r="2231" spans="1:1" x14ac:dyDescent="0.2">
      <c r="A2231" s="85"/>
    </row>
    <row r="2232" spans="1:1" x14ac:dyDescent="0.2">
      <c r="A2232" s="85"/>
    </row>
    <row r="2233" spans="1:1" x14ac:dyDescent="0.2">
      <c r="A2233" s="85"/>
    </row>
    <row r="2234" spans="1:1" x14ac:dyDescent="0.2">
      <c r="A2234" s="85"/>
    </row>
    <row r="2235" spans="1:1" x14ac:dyDescent="0.2">
      <c r="A2235" s="85"/>
    </row>
    <row r="2236" spans="1:1" x14ac:dyDescent="0.2">
      <c r="A2236" s="85"/>
    </row>
    <row r="2237" spans="1:1" x14ac:dyDescent="0.2">
      <c r="A2237" s="85"/>
    </row>
    <row r="2238" spans="1:1" x14ac:dyDescent="0.2">
      <c r="A2238" s="85"/>
    </row>
    <row r="2239" spans="1:1" x14ac:dyDescent="0.2">
      <c r="A2239" s="85"/>
    </row>
    <row r="2240" spans="1:1" x14ac:dyDescent="0.2">
      <c r="A2240" s="85"/>
    </row>
    <row r="2241" spans="1:1" x14ac:dyDescent="0.2">
      <c r="A2241" s="85"/>
    </row>
    <row r="2242" spans="1:1" x14ac:dyDescent="0.2">
      <c r="A2242" s="85"/>
    </row>
    <row r="2243" spans="1:1" x14ac:dyDescent="0.2">
      <c r="A2243" s="85"/>
    </row>
    <row r="2244" spans="1:1" x14ac:dyDescent="0.2">
      <c r="A2244" s="85"/>
    </row>
    <row r="2245" spans="1:1" x14ac:dyDescent="0.2">
      <c r="A2245" s="85"/>
    </row>
    <row r="2246" spans="1:1" x14ac:dyDescent="0.2">
      <c r="A2246" s="85"/>
    </row>
    <row r="2247" spans="1:1" x14ac:dyDescent="0.2">
      <c r="A2247" s="85"/>
    </row>
    <row r="2248" spans="1:1" x14ac:dyDescent="0.2">
      <c r="A2248" s="85"/>
    </row>
    <row r="2249" spans="1:1" x14ac:dyDescent="0.2">
      <c r="A2249" s="85"/>
    </row>
    <row r="2250" spans="1:1" x14ac:dyDescent="0.2">
      <c r="A2250" s="85"/>
    </row>
    <row r="2251" spans="1:1" x14ac:dyDescent="0.2">
      <c r="A2251" s="85"/>
    </row>
    <row r="2252" spans="1:1" x14ac:dyDescent="0.2">
      <c r="A2252" s="85"/>
    </row>
    <row r="2253" spans="1:1" x14ac:dyDescent="0.2">
      <c r="A2253" s="85"/>
    </row>
    <row r="2254" spans="1:1" x14ac:dyDescent="0.2">
      <c r="A2254" s="85"/>
    </row>
    <row r="2255" spans="1:1" x14ac:dyDescent="0.2">
      <c r="A2255" s="85"/>
    </row>
    <row r="2256" spans="1:1" x14ac:dyDescent="0.2">
      <c r="A2256" s="85"/>
    </row>
    <row r="2257" spans="1:1" x14ac:dyDescent="0.2">
      <c r="A2257" s="85"/>
    </row>
    <row r="2258" spans="1:1" x14ac:dyDescent="0.2">
      <c r="A2258" s="85"/>
    </row>
    <row r="2259" spans="1:1" x14ac:dyDescent="0.2">
      <c r="A2259" s="85"/>
    </row>
    <row r="2260" spans="1:1" x14ac:dyDescent="0.2">
      <c r="A2260" s="85"/>
    </row>
    <row r="2261" spans="1:1" x14ac:dyDescent="0.2">
      <c r="A2261" s="85"/>
    </row>
    <row r="2262" spans="1:1" x14ac:dyDescent="0.2">
      <c r="A2262" s="85"/>
    </row>
    <row r="2263" spans="1:1" x14ac:dyDescent="0.2">
      <c r="A2263" s="85"/>
    </row>
    <row r="2264" spans="1:1" x14ac:dyDescent="0.2">
      <c r="A2264" s="85"/>
    </row>
    <row r="2265" spans="1:1" x14ac:dyDescent="0.2">
      <c r="A2265" s="85"/>
    </row>
    <row r="2266" spans="1:1" x14ac:dyDescent="0.2">
      <c r="A2266" s="85"/>
    </row>
    <row r="2267" spans="1:1" x14ac:dyDescent="0.2">
      <c r="A2267" s="85"/>
    </row>
    <row r="2268" spans="1:1" x14ac:dyDescent="0.2">
      <c r="A2268" s="85"/>
    </row>
    <row r="2269" spans="1:1" x14ac:dyDescent="0.2">
      <c r="A2269" s="85"/>
    </row>
    <row r="2270" spans="1:1" x14ac:dyDescent="0.2">
      <c r="A2270" s="85"/>
    </row>
    <row r="2271" spans="1:1" x14ac:dyDescent="0.2">
      <c r="A2271" s="85"/>
    </row>
    <row r="2272" spans="1:1" x14ac:dyDescent="0.2">
      <c r="A2272" s="85"/>
    </row>
    <row r="2273" spans="1:1" x14ac:dyDescent="0.2">
      <c r="A2273" s="85"/>
    </row>
    <row r="2274" spans="1:1" x14ac:dyDescent="0.2">
      <c r="A2274" s="85"/>
    </row>
    <row r="2275" spans="1:1" x14ac:dyDescent="0.2">
      <c r="A2275" s="85"/>
    </row>
    <row r="2276" spans="1:1" x14ac:dyDescent="0.2">
      <c r="A2276" s="85"/>
    </row>
    <row r="2277" spans="1:1" x14ac:dyDescent="0.2">
      <c r="A2277" s="85"/>
    </row>
    <row r="2278" spans="1:1" x14ac:dyDescent="0.2">
      <c r="A2278" s="85"/>
    </row>
    <row r="2279" spans="1:1" x14ac:dyDescent="0.2">
      <c r="A2279" s="85"/>
    </row>
    <row r="2280" spans="1:1" x14ac:dyDescent="0.2">
      <c r="A2280" s="85"/>
    </row>
    <row r="2281" spans="1:1" x14ac:dyDescent="0.2">
      <c r="A2281" s="85"/>
    </row>
    <row r="2282" spans="1:1" x14ac:dyDescent="0.2">
      <c r="A2282" s="85"/>
    </row>
    <row r="2283" spans="1:1" x14ac:dyDescent="0.2">
      <c r="A2283" s="85"/>
    </row>
    <row r="2284" spans="1:1" x14ac:dyDescent="0.2">
      <c r="A2284" s="85"/>
    </row>
    <row r="2285" spans="1:1" x14ac:dyDescent="0.2">
      <c r="A2285" s="85"/>
    </row>
    <row r="2286" spans="1:1" x14ac:dyDescent="0.2">
      <c r="A2286" s="85"/>
    </row>
    <row r="2287" spans="1:1" x14ac:dyDescent="0.2">
      <c r="A2287" s="85"/>
    </row>
    <row r="2288" spans="1:1" x14ac:dyDescent="0.2">
      <c r="A2288" s="85"/>
    </row>
    <row r="2289" spans="1:1" x14ac:dyDescent="0.2">
      <c r="A2289" s="85"/>
    </row>
    <row r="2290" spans="1:1" x14ac:dyDescent="0.2">
      <c r="A2290" s="85"/>
    </row>
    <row r="2291" spans="1:1" x14ac:dyDescent="0.2">
      <c r="A2291" s="85"/>
    </row>
    <row r="2292" spans="1:1" x14ac:dyDescent="0.2">
      <c r="A2292" s="85"/>
    </row>
    <row r="2293" spans="1:1" x14ac:dyDescent="0.2">
      <c r="A2293" s="85"/>
    </row>
    <row r="2294" spans="1:1" x14ac:dyDescent="0.2">
      <c r="A2294" s="85"/>
    </row>
    <row r="2295" spans="1:1" x14ac:dyDescent="0.2">
      <c r="A2295" s="85"/>
    </row>
    <row r="2296" spans="1:1" x14ac:dyDescent="0.2">
      <c r="A2296" s="85"/>
    </row>
    <row r="2297" spans="1:1" x14ac:dyDescent="0.2">
      <c r="A2297" s="85"/>
    </row>
    <row r="2298" spans="1:1" x14ac:dyDescent="0.2">
      <c r="A2298" s="85"/>
    </row>
    <row r="2299" spans="1:1" x14ac:dyDescent="0.2">
      <c r="A2299" s="85"/>
    </row>
    <row r="2300" spans="1:1" x14ac:dyDescent="0.2">
      <c r="A2300" s="85"/>
    </row>
    <row r="2301" spans="1:1" x14ac:dyDescent="0.2">
      <c r="A2301" s="85"/>
    </row>
    <row r="2302" spans="1:1" x14ac:dyDescent="0.2">
      <c r="A2302" s="85"/>
    </row>
    <row r="2303" spans="1:1" x14ac:dyDescent="0.2">
      <c r="A2303" s="85"/>
    </row>
    <row r="2304" spans="1:1" x14ac:dyDescent="0.2">
      <c r="A2304" s="85"/>
    </row>
    <row r="2305" spans="1:1" x14ac:dyDescent="0.2">
      <c r="A2305" s="85"/>
    </row>
    <row r="2306" spans="1:1" x14ac:dyDescent="0.2">
      <c r="A2306" s="85"/>
    </row>
    <row r="2307" spans="1:1" x14ac:dyDescent="0.2">
      <c r="A2307" s="85"/>
    </row>
    <row r="2308" spans="1:1" x14ac:dyDescent="0.2">
      <c r="A2308" s="85"/>
    </row>
    <row r="2309" spans="1:1" x14ac:dyDescent="0.2">
      <c r="A2309" s="85"/>
    </row>
    <row r="2310" spans="1:1" x14ac:dyDescent="0.2">
      <c r="A2310" s="85"/>
    </row>
    <row r="2311" spans="1:1" x14ac:dyDescent="0.2">
      <c r="A2311" s="85"/>
    </row>
    <row r="2312" spans="1:1" x14ac:dyDescent="0.2">
      <c r="A2312" s="85"/>
    </row>
    <row r="2313" spans="1:1" x14ac:dyDescent="0.2">
      <c r="A2313" s="85"/>
    </row>
    <row r="2314" spans="1:1" x14ac:dyDescent="0.2">
      <c r="A2314" s="85"/>
    </row>
    <row r="2315" spans="1:1" x14ac:dyDescent="0.2">
      <c r="A2315" s="85"/>
    </row>
    <row r="2316" spans="1:1" x14ac:dyDescent="0.2">
      <c r="A2316" s="85"/>
    </row>
    <row r="2317" spans="1:1" x14ac:dyDescent="0.2">
      <c r="A2317" s="85"/>
    </row>
    <row r="2318" spans="1:1" x14ac:dyDescent="0.2">
      <c r="A2318" s="85"/>
    </row>
    <row r="2319" spans="1:1" x14ac:dyDescent="0.2">
      <c r="A2319" s="85"/>
    </row>
    <row r="2320" spans="1:1" x14ac:dyDescent="0.2">
      <c r="A2320" s="85"/>
    </row>
    <row r="2321" spans="1:1" x14ac:dyDescent="0.2">
      <c r="A2321" s="85"/>
    </row>
    <row r="2322" spans="1:1" x14ac:dyDescent="0.2">
      <c r="A2322" s="85"/>
    </row>
    <row r="2323" spans="1:1" x14ac:dyDescent="0.2">
      <c r="A2323" s="85"/>
    </row>
    <row r="2324" spans="1:1" x14ac:dyDescent="0.2">
      <c r="A2324" s="85"/>
    </row>
    <row r="2325" spans="1:1" x14ac:dyDescent="0.2">
      <c r="A2325" s="85"/>
    </row>
    <row r="2326" spans="1:1" x14ac:dyDescent="0.2">
      <c r="A2326" s="85"/>
    </row>
    <row r="2327" spans="1:1" x14ac:dyDescent="0.2">
      <c r="A2327" s="85"/>
    </row>
    <row r="2328" spans="1:1" x14ac:dyDescent="0.2">
      <c r="A2328" s="85"/>
    </row>
    <row r="2329" spans="1:1" x14ac:dyDescent="0.2">
      <c r="A2329" s="85"/>
    </row>
    <row r="2330" spans="1:1" x14ac:dyDescent="0.2">
      <c r="A2330" s="85"/>
    </row>
    <row r="2331" spans="1:1" x14ac:dyDescent="0.2">
      <c r="A2331" s="85"/>
    </row>
    <row r="2332" spans="1:1" x14ac:dyDescent="0.2">
      <c r="A2332" s="85"/>
    </row>
    <row r="2333" spans="1:1" x14ac:dyDescent="0.2">
      <c r="A2333" s="85"/>
    </row>
    <row r="2334" spans="1:1" x14ac:dyDescent="0.2">
      <c r="A2334" s="85"/>
    </row>
    <row r="2335" spans="1:1" x14ac:dyDescent="0.2">
      <c r="A2335" s="85"/>
    </row>
    <row r="2336" spans="1:1" x14ac:dyDescent="0.2">
      <c r="A2336" s="85"/>
    </row>
    <row r="2337" spans="1:1" x14ac:dyDescent="0.2">
      <c r="A2337" s="85"/>
    </row>
    <row r="2338" spans="1:1" x14ac:dyDescent="0.2">
      <c r="A2338" s="85"/>
    </row>
    <row r="2339" spans="1:1" x14ac:dyDescent="0.2">
      <c r="A2339" s="85"/>
    </row>
    <row r="2340" spans="1:1" x14ac:dyDescent="0.2">
      <c r="A2340" s="85"/>
    </row>
    <row r="2341" spans="1:1" x14ac:dyDescent="0.2">
      <c r="A2341" s="85"/>
    </row>
    <row r="2342" spans="1:1" x14ac:dyDescent="0.2">
      <c r="A2342" s="85"/>
    </row>
    <row r="2343" spans="1:1" x14ac:dyDescent="0.2">
      <c r="A2343" s="85"/>
    </row>
    <row r="2344" spans="1:1" x14ac:dyDescent="0.2">
      <c r="A2344" s="85"/>
    </row>
    <row r="2345" spans="1:1" x14ac:dyDescent="0.2">
      <c r="A2345" s="85"/>
    </row>
    <row r="2346" spans="1:1" x14ac:dyDescent="0.2">
      <c r="A2346" s="85"/>
    </row>
    <row r="2347" spans="1:1" x14ac:dyDescent="0.2">
      <c r="A2347" s="85"/>
    </row>
    <row r="2348" spans="1:1" x14ac:dyDescent="0.2">
      <c r="A2348" s="85"/>
    </row>
    <row r="2349" spans="1:1" x14ac:dyDescent="0.2">
      <c r="A2349" s="85"/>
    </row>
    <row r="2350" spans="1:1" x14ac:dyDescent="0.2">
      <c r="A2350" s="85"/>
    </row>
    <row r="2351" spans="1:1" x14ac:dyDescent="0.2">
      <c r="A2351" s="85"/>
    </row>
    <row r="2352" spans="1:1" x14ac:dyDescent="0.2">
      <c r="A2352" s="85"/>
    </row>
    <row r="2353" spans="1:1" x14ac:dyDescent="0.2">
      <c r="A2353" s="85"/>
    </row>
    <row r="2354" spans="1:1" x14ac:dyDescent="0.2">
      <c r="A2354" s="85"/>
    </row>
    <row r="2355" spans="1:1" x14ac:dyDescent="0.2">
      <c r="A2355" s="85"/>
    </row>
    <row r="2356" spans="1:1" x14ac:dyDescent="0.2">
      <c r="A2356" s="85"/>
    </row>
    <row r="2357" spans="1:1" x14ac:dyDescent="0.2">
      <c r="A2357" s="85"/>
    </row>
    <row r="2358" spans="1:1" x14ac:dyDescent="0.2">
      <c r="A2358" s="85"/>
    </row>
    <row r="2359" spans="1:1" x14ac:dyDescent="0.2">
      <c r="A2359" s="85"/>
    </row>
    <row r="2360" spans="1:1" x14ac:dyDescent="0.2">
      <c r="A2360" s="85"/>
    </row>
    <row r="2361" spans="1:1" x14ac:dyDescent="0.2">
      <c r="A2361" s="85"/>
    </row>
    <row r="2362" spans="1:1" x14ac:dyDescent="0.2">
      <c r="A2362" s="85"/>
    </row>
    <row r="2363" spans="1:1" x14ac:dyDescent="0.2">
      <c r="A2363" s="85"/>
    </row>
    <row r="2364" spans="1:1" x14ac:dyDescent="0.2">
      <c r="A2364" s="85"/>
    </row>
    <row r="2365" spans="1:1" x14ac:dyDescent="0.2">
      <c r="A2365" s="85"/>
    </row>
    <row r="2366" spans="1:1" x14ac:dyDescent="0.2">
      <c r="A2366" s="85"/>
    </row>
    <row r="2367" spans="1:1" x14ac:dyDescent="0.2">
      <c r="A2367" s="85"/>
    </row>
    <row r="2368" spans="1:1" x14ac:dyDescent="0.2">
      <c r="A2368" s="85"/>
    </row>
    <row r="2369" spans="1:1" x14ac:dyDescent="0.2">
      <c r="A2369" s="85"/>
    </row>
    <row r="2370" spans="1:1" x14ac:dyDescent="0.2">
      <c r="A2370" s="85"/>
    </row>
    <row r="2371" spans="1:1" x14ac:dyDescent="0.2">
      <c r="A2371" s="85"/>
    </row>
    <row r="2372" spans="1:1" x14ac:dyDescent="0.2">
      <c r="A2372" s="85"/>
    </row>
    <row r="2373" spans="1:1" x14ac:dyDescent="0.2">
      <c r="A2373" s="85"/>
    </row>
    <row r="2374" spans="1:1" x14ac:dyDescent="0.2">
      <c r="A2374" s="85"/>
    </row>
    <row r="2375" spans="1:1" x14ac:dyDescent="0.2">
      <c r="A2375" s="85"/>
    </row>
    <row r="2376" spans="1:1" x14ac:dyDescent="0.2">
      <c r="A2376" s="85"/>
    </row>
    <row r="2377" spans="1:1" x14ac:dyDescent="0.2">
      <c r="A2377" s="85"/>
    </row>
    <row r="2378" spans="1:1" x14ac:dyDescent="0.2">
      <c r="A2378" s="85"/>
    </row>
    <row r="2379" spans="1:1" x14ac:dyDescent="0.2">
      <c r="A2379" s="85"/>
    </row>
    <row r="2380" spans="1:1" x14ac:dyDescent="0.2">
      <c r="A2380" s="85"/>
    </row>
    <row r="2381" spans="1:1" x14ac:dyDescent="0.2">
      <c r="A2381" s="85"/>
    </row>
    <row r="2382" spans="1:1" x14ac:dyDescent="0.2">
      <c r="A2382" s="85"/>
    </row>
    <row r="2383" spans="1:1" x14ac:dyDescent="0.2">
      <c r="A2383" s="85"/>
    </row>
    <row r="2384" spans="1:1" x14ac:dyDescent="0.2">
      <c r="A2384" s="85"/>
    </row>
    <row r="2385" spans="1:1" x14ac:dyDescent="0.2">
      <c r="A2385" s="85"/>
    </row>
    <row r="2386" spans="1:1" x14ac:dyDescent="0.2">
      <c r="A2386" s="85"/>
    </row>
    <row r="2387" spans="1:1" x14ac:dyDescent="0.2">
      <c r="A2387" s="85"/>
    </row>
    <row r="2388" spans="1:1" x14ac:dyDescent="0.2">
      <c r="A2388" s="85"/>
    </row>
    <row r="2389" spans="1:1" x14ac:dyDescent="0.2">
      <c r="A2389" s="85"/>
    </row>
    <row r="2390" spans="1:1" x14ac:dyDescent="0.2">
      <c r="A2390" s="85"/>
    </row>
    <row r="2391" spans="1:1" x14ac:dyDescent="0.2">
      <c r="A2391" s="85"/>
    </row>
    <row r="2392" spans="1:1" x14ac:dyDescent="0.2">
      <c r="A2392" s="85"/>
    </row>
    <row r="2393" spans="1:1" x14ac:dyDescent="0.2">
      <c r="A2393" s="85"/>
    </row>
    <row r="2394" spans="1:1" x14ac:dyDescent="0.2">
      <c r="A2394" s="85"/>
    </row>
    <row r="2395" spans="1:1" x14ac:dyDescent="0.2">
      <c r="A2395" s="85"/>
    </row>
    <row r="2396" spans="1:1" x14ac:dyDescent="0.2">
      <c r="A2396" s="85"/>
    </row>
    <row r="2397" spans="1:1" x14ac:dyDescent="0.2">
      <c r="A2397" s="85"/>
    </row>
    <row r="2398" spans="1:1" x14ac:dyDescent="0.2">
      <c r="A2398" s="85"/>
    </row>
    <row r="2399" spans="1:1" x14ac:dyDescent="0.2">
      <c r="A2399" s="85"/>
    </row>
    <row r="2400" spans="1:1" x14ac:dyDescent="0.2">
      <c r="A2400" s="85"/>
    </row>
    <row r="2401" spans="1:1" x14ac:dyDescent="0.2">
      <c r="A2401" s="85"/>
    </row>
    <row r="2402" spans="1:1" x14ac:dyDescent="0.2">
      <c r="A2402" s="85"/>
    </row>
    <row r="2403" spans="1:1" x14ac:dyDescent="0.2">
      <c r="A2403" s="85"/>
    </row>
    <row r="2404" spans="1:1" x14ac:dyDescent="0.2">
      <c r="A2404" s="85"/>
    </row>
    <row r="2405" spans="1:1" x14ac:dyDescent="0.2">
      <c r="A2405" s="85"/>
    </row>
    <row r="2406" spans="1:1" x14ac:dyDescent="0.2">
      <c r="A2406" s="85"/>
    </row>
    <row r="2407" spans="1:1" x14ac:dyDescent="0.2">
      <c r="A2407" s="85"/>
    </row>
    <row r="2408" spans="1:1" x14ac:dyDescent="0.2">
      <c r="A2408" s="85"/>
    </row>
    <row r="2409" spans="1:1" x14ac:dyDescent="0.2">
      <c r="A2409" s="85"/>
    </row>
    <row r="2410" spans="1:1" x14ac:dyDescent="0.2">
      <c r="A2410" s="85"/>
    </row>
    <row r="2411" spans="1:1" x14ac:dyDescent="0.2">
      <c r="A2411" s="85"/>
    </row>
    <row r="2412" spans="1:1" x14ac:dyDescent="0.2">
      <c r="A2412" s="85"/>
    </row>
    <row r="2413" spans="1:1" x14ac:dyDescent="0.2">
      <c r="A2413" s="85"/>
    </row>
    <row r="2414" spans="1:1" x14ac:dyDescent="0.2">
      <c r="A2414" s="85"/>
    </row>
    <row r="2415" spans="1:1" x14ac:dyDescent="0.2">
      <c r="A2415" s="85"/>
    </row>
    <row r="2416" spans="1:1" x14ac:dyDescent="0.2">
      <c r="A2416" s="85"/>
    </row>
    <row r="2417" spans="1:1" x14ac:dyDescent="0.2">
      <c r="A2417" s="85"/>
    </row>
    <row r="2418" spans="1:1" x14ac:dyDescent="0.2">
      <c r="A2418" s="85"/>
    </row>
    <row r="2419" spans="1:1" x14ac:dyDescent="0.2">
      <c r="A2419" s="85"/>
    </row>
    <row r="2420" spans="1:1" x14ac:dyDescent="0.2">
      <c r="A2420" s="85"/>
    </row>
    <row r="2421" spans="1:1" x14ac:dyDescent="0.2">
      <c r="A2421" s="85"/>
    </row>
    <row r="2422" spans="1:1" x14ac:dyDescent="0.2">
      <c r="A2422" s="85"/>
    </row>
    <row r="2423" spans="1:1" x14ac:dyDescent="0.2">
      <c r="A2423" s="85"/>
    </row>
    <row r="2424" spans="1:1" x14ac:dyDescent="0.2">
      <c r="A2424" s="85"/>
    </row>
    <row r="2425" spans="1:1" x14ac:dyDescent="0.2">
      <c r="A2425" s="85"/>
    </row>
    <row r="2426" spans="1:1" x14ac:dyDescent="0.2">
      <c r="A2426" s="85"/>
    </row>
    <row r="2427" spans="1:1" x14ac:dyDescent="0.2">
      <c r="A2427" s="85"/>
    </row>
    <row r="2428" spans="1:1" x14ac:dyDescent="0.2">
      <c r="A2428" s="85"/>
    </row>
    <row r="2429" spans="1:1" x14ac:dyDescent="0.2">
      <c r="A2429" s="85"/>
    </row>
    <row r="2430" spans="1:1" x14ac:dyDescent="0.2">
      <c r="A2430" s="85"/>
    </row>
    <row r="2431" spans="1:1" x14ac:dyDescent="0.2">
      <c r="A2431" s="85"/>
    </row>
    <row r="2432" spans="1:1" x14ac:dyDescent="0.2">
      <c r="A2432" s="85"/>
    </row>
    <row r="2433" spans="1:1" x14ac:dyDescent="0.2">
      <c r="A2433" s="85"/>
    </row>
    <row r="2434" spans="1:1" x14ac:dyDescent="0.2">
      <c r="A2434" s="85"/>
    </row>
    <row r="2435" spans="1:1" x14ac:dyDescent="0.2">
      <c r="A2435" s="85"/>
    </row>
    <row r="2436" spans="1:1" x14ac:dyDescent="0.2">
      <c r="A2436" s="85"/>
    </row>
    <row r="2437" spans="1:1" x14ac:dyDescent="0.2">
      <c r="A2437" s="85"/>
    </row>
    <row r="2438" spans="1:1" x14ac:dyDescent="0.2">
      <c r="A2438" s="85"/>
    </row>
    <row r="2439" spans="1:1" x14ac:dyDescent="0.2">
      <c r="A2439" s="85"/>
    </row>
    <row r="2440" spans="1:1" x14ac:dyDescent="0.2">
      <c r="A2440" s="85"/>
    </row>
    <row r="2441" spans="1:1" x14ac:dyDescent="0.2">
      <c r="A2441" s="85"/>
    </row>
    <row r="2442" spans="1:1" x14ac:dyDescent="0.2">
      <c r="A2442" s="85"/>
    </row>
    <row r="2443" spans="1:1" x14ac:dyDescent="0.2">
      <c r="A2443" s="85"/>
    </row>
    <row r="2444" spans="1:1" x14ac:dyDescent="0.2">
      <c r="A2444" s="85"/>
    </row>
    <row r="2445" spans="1:1" x14ac:dyDescent="0.2">
      <c r="A2445" s="85"/>
    </row>
    <row r="2446" spans="1:1" x14ac:dyDescent="0.2">
      <c r="A2446" s="85"/>
    </row>
    <row r="2447" spans="1:1" x14ac:dyDescent="0.2">
      <c r="A2447" s="85"/>
    </row>
    <row r="2448" spans="1:1" x14ac:dyDescent="0.2">
      <c r="A2448" s="85"/>
    </row>
    <row r="2449" spans="1:1" x14ac:dyDescent="0.2">
      <c r="A2449" s="85"/>
    </row>
    <row r="2450" spans="1:1" x14ac:dyDescent="0.2">
      <c r="A2450" s="85"/>
    </row>
    <row r="2451" spans="1:1" x14ac:dyDescent="0.2">
      <c r="A2451" s="85"/>
    </row>
    <row r="2452" spans="1:1" x14ac:dyDescent="0.2">
      <c r="A2452" s="85"/>
    </row>
    <row r="2453" spans="1:1" x14ac:dyDescent="0.2">
      <c r="A2453" s="85"/>
    </row>
    <row r="2454" spans="1:1" x14ac:dyDescent="0.2">
      <c r="A2454" s="85"/>
    </row>
    <row r="2455" spans="1:1" x14ac:dyDescent="0.2">
      <c r="A2455" s="85"/>
    </row>
    <row r="2456" spans="1:1" x14ac:dyDescent="0.2">
      <c r="A2456" s="85"/>
    </row>
    <row r="2457" spans="1:1" x14ac:dyDescent="0.2">
      <c r="A2457" s="85"/>
    </row>
    <row r="2458" spans="1:1" x14ac:dyDescent="0.2">
      <c r="A2458" s="85"/>
    </row>
    <row r="2459" spans="1:1" x14ac:dyDescent="0.2">
      <c r="A2459" s="85"/>
    </row>
    <row r="2460" spans="1:1" x14ac:dyDescent="0.2">
      <c r="A2460" s="85"/>
    </row>
    <row r="2461" spans="1:1" x14ac:dyDescent="0.2">
      <c r="A2461" s="85"/>
    </row>
    <row r="2462" spans="1:1" x14ac:dyDescent="0.2">
      <c r="A2462" s="85"/>
    </row>
    <row r="2463" spans="1:1" x14ac:dyDescent="0.2">
      <c r="A2463" s="85"/>
    </row>
    <row r="2464" spans="1:1" x14ac:dyDescent="0.2">
      <c r="A2464" s="85"/>
    </row>
    <row r="2465" spans="1:1" x14ac:dyDescent="0.2">
      <c r="A2465" s="85"/>
    </row>
    <row r="2466" spans="1:1" x14ac:dyDescent="0.2">
      <c r="A2466" s="85"/>
    </row>
    <row r="2467" spans="1:1" x14ac:dyDescent="0.2">
      <c r="A2467" s="85"/>
    </row>
    <row r="2468" spans="1:1" x14ac:dyDescent="0.2">
      <c r="A2468" s="85"/>
    </row>
    <row r="2469" spans="1:1" x14ac:dyDescent="0.2">
      <c r="A2469" s="85"/>
    </row>
    <row r="2470" spans="1:1" x14ac:dyDescent="0.2">
      <c r="A2470" s="85"/>
    </row>
    <row r="2471" spans="1:1" x14ac:dyDescent="0.2">
      <c r="A2471" s="85"/>
    </row>
    <row r="2472" spans="1:1" x14ac:dyDescent="0.2">
      <c r="A2472" s="85"/>
    </row>
    <row r="2473" spans="1:1" x14ac:dyDescent="0.2">
      <c r="A2473" s="85"/>
    </row>
    <row r="2474" spans="1:1" x14ac:dyDescent="0.2">
      <c r="A2474" s="85"/>
    </row>
    <row r="2475" spans="1:1" x14ac:dyDescent="0.2">
      <c r="A2475" s="85"/>
    </row>
    <row r="2476" spans="1:1" x14ac:dyDescent="0.2">
      <c r="A2476" s="85"/>
    </row>
    <row r="2477" spans="1:1" x14ac:dyDescent="0.2">
      <c r="A2477" s="85"/>
    </row>
    <row r="2478" spans="1:1" x14ac:dyDescent="0.2">
      <c r="A2478" s="85"/>
    </row>
    <row r="2479" spans="1:1" x14ac:dyDescent="0.2">
      <c r="A2479" s="85"/>
    </row>
    <row r="2480" spans="1:1" x14ac:dyDescent="0.2">
      <c r="A2480" s="85"/>
    </row>
    <row r="2481" spans="1:1" x14ac:dyDescent="0.2">
      <c r="A2481" s="85"/>
    </row>
    <row r="2482" spans="1:1" x14ac:dyDescent="0.2">
      <c r="A2482" s="85"/>
    </row>
    <row r="2483" spans="1:1" x14ac:dyDescent="0.2">
      <c r="A2483" s="85"/>
    </row>
    <row r="2484" spans="1:1" x14ac:dyDescent="0.2">
      <c r="A2484" s="85"/>
    </row>
    <row r="2485" spans="1:1" x14ac:dyDescent="0.2">
      <c r="A2485" s="85"/>
    </row>
    <row r="2486" spans="1:1" x14ac:dyDescent="0.2">
      <c r="A2486" s="85"/>
    </row>
    <row r="2487" spans="1:1" x14ac:dyDescent="0.2">
      <c r="A2487" s="85"/>
    </row>
    <row r="2488" spans="1:1" x14ac:dyDescent="0.2">
      <c r="A2488" s="85"/>
    </row>
    <row r="2489" spans="1:1" x14ac:dyDescent="0.2">
      <c r="A2489" s="85"/>
    </row>
    <row r="2490" spans="1:1" x14ac:dyDescent="0.2">
      <c r="A2490" s="85"/>
    </row>
    <row r="2491" spans="1:1" x14ac:dyDescent="0.2">
      <c r="A2491" s="85"/>
    </row>
    <row r="2492" spans="1:1" x14ac:dyDescent="0.2">
      <c r="A2492" s="85"/>
    </row>
    <row r="2493" spans="1:1" x14ac:dyDescent="0.2">
      <c r="A2493" s="85"/>
    </row>
    <row r="2494" spans="1:1" x14ac:dyDescent="0.2">
      <c r="A2494" s="85"/>
    </row>
    <row r="2495" spans="1:1" x14ac:dyDescent="0.2">
      <c r="A2495" s="85"/>
    </row>
    <row r="2496" spans="1:1" x14ac:dyDescent="0.2">
      <c r="A2496" s="85"/>
    </row>
    <row r="2497" spans="1:1" x14ac:dyDescent="0.2">
      <c r="A2497" s="85"/>
    </row>
    <row r="2498" spans="1:1" x14ac:dyDescent="0.2">
      <c r="A2498" s="85"/>
    </row>
    <row r="2499" spans="1:1" x14ac:dyDescent="0.2">
      <c r="A2499" s="85"/>
    </row>
    <row r="2500" spans="1:1" x14ac:dyDescent="0.2">
      <c r="A2500" s="85"/>
    </row>
    <row r="2501" spans="1:1" x14ac:dyDescent="0.2">
      <c r="A2501" s="85"/>
    </row>
    <row r="2502" spans="1:1" x14ac:dyDescent="0.2">
      <c r="A2502" s="85"/>
    </row>
    <row r="2503" spans="1:1" x14ac:dyDescent="0.2">
      <c r="A2503" s="85"/>
    </row>
    <row r="2504" spans="1:1" x14ac:dyDescent="0.2">
      <c r="A2504" s="85"/>
    </row>
    <row r="2505" spans="1:1" x14ac:dyDescent="0.2">
      <c r="A2505" s="85"/>
    </row>
    <row r="2506" spans="1:1" x14ac:dyDescent="0.2">
      <c r="A2506" s="85"/>
    </row>
    <row r="2507" spans="1:1" x14ac:dyDescent="0.2">
      <c r="A2507" s="85"/>
    </row>
    <row r="2508" spans="1:1" x14ac:dyDescent="0.2">
      <c r="A2508" s="85"/>
    </row>
    <row r="2509" spans="1:1" x14ac:dyDescent="0.2">
      <c r="A2509" s="85"/>
    </row>
    <row r="2510" spans="1:1" x14ac:dyDescent="0.2">
      <c r="A2510" s="85"/>
    </row>
    <row r="2511" spans="1:1" x14ac:dyDescent="0.2">
      <c r="A2511" s="85"/>
    </row>
    <row r="2512" spans="1:1" x14ac:dyDescent="0.2">
      <c r="A2512" s="85"/>
    </row>
    <row r="2513" spans="1:1" x14ac:dyDescent="0.2">
      <c r="A2513" s="85"/>
    </row>
    <row r="2514" spans="1:1" x14ac:dyDescent="0.2">
      <c r="A2514" s="85"/>
    </row>
    <row r="2515" spans="1:1" x14ac:dyDescent="0.2">
      <c r="A2515" s="85"/>
    </row>
    <row r="2516" spans="1:1" x14ac:dyDescent="0.2">
      <c r="A2516" s="85"/>
    </row>
    <row r="2517" spans="1:1" x14ac:dyDescent="0.2">
      <c r="A2517" s="85"/>
    </row>
    <row r="2518" spans="1:1" x14ac:dyDescent="0.2">
      <c r="A2518" s="85"/>
    </row>
    <row r="2519" spans="1:1" x14ac:dyDescent="0.2">
      <c r="A2519" s="85"/>
    </row>
    <row r="2520" spans="1:1" x14ac:dyDescent="0.2">
      <c r="A2520" s="85"/>
    </row>
    <row r="2521" spans="1:1" x14ac:dyDescent="0.2">
      <c r="A2521" s="85"/>
    </row>
    <row r="2522" spans="1:1" x14ac:dyDescent="0.2">
      <c r="A2522" s="85"/>
    </row>
    <row r="2523" spans="1:1" x14ac:dyDescent="0.2">
      <c r="A2523" s="85"/>
    </row>
    <row r="2524" spans="1:1" x14ac:dyDescent="0.2">
      <c r="A2524" s="85"/>
    </row>
    <row r="2525" spans="1:1" x14ac:dyDescent="0.2">
      <c r="A2525" s="85"/>
    </row>
    <row r="2526" spans="1:1" x14ac:dyDescent="0.2">
      <c r="A2526" s="85"/>
    </row>
    <row r="2527" spans="1:1" x14ac:dyDescent="0.2">
      <c r="A2527" s="85"/>
    </row>
    <row r="2528" spans="1:1" x14ac:dyDescent="0.2">
      <c r="A2528" s="85"/>
    </row>
    <row r="2529" spans="1:1" x14ac:dyDescent="0.2">
      <c r="A2529" s="85"/>
    </row>
    <row r="2530" spans="1:1" x14ac:dyDescent="0.2">
      <c r="A2530" s="85"/>
    </row>
    <row r="2531" spans="1:1" x14ac:dyDescent="0.2">
      <c r="A2531" s="85"/>
    </row>
    <row r="2532" spans="1:1" x14ac:dyDescent="0.2">
      <c r="A2532" s="85"/>
    </row>
    <row r="2533" spans="1:1" x14ac:dyDescent="0.2">
      <c r="A2533" s="85"/>
    </row>
    <row r="2534" spans="1:1" x14ac:dyDescent="0.2">
      <c r="A2534" s="85"/>
    </row>
    <row r="2535" spans="1:1" x14ac:dyDescent="0.2">
      <c r="A2535" s="85"/>
    </row>
    <row r="2536" spans="1:1" x14ac:dyDescent="0.2">
      <c r="A2536" s="85"/>
    </row>
    <row r="2537" spans="1:1" x14ac:dyDescent="0.2">
      <c r="A2537" s="85"/>
    </row>
    <row r="2538" spans="1:1" x14ac:dyDescent="0.2">
      <c r="A2538" s="85"/>
    </row>
    <row r="2539" spans="1:1" x14ac:dyDescent="0.2">
      <c r="A2539" s="85"/>
    </row>
    <row r="2540" spans="1:1" x14ac:dyDescent="0.2">
      <c r="A2540" s="85"/>
    </row>
    <row r="2541" spans="1:1" x14ac:dyDescent="0.2">
      <c r="A2541" s="85"/>
    </row>
    <row r="2542" spans="1:1" x14ac:dyDescent="0.2">
      <c r="A2542" s="85"/>
    </row>
    <row r="2543" spans="1:1" x14ac:dyDescent="0.2">
      <c r="A2543" s="85"/>
    </row>
    <row r="2544" spans="1:1" x14ac:dyDescent="0.2">
      <c r="A2544" s="85"/>
    </row>
    <row r="2545" spans="1:1" x14ac:dyDescent="0.2">
      <c r="A2545" s="85"/>
    </row>
    <row r="2546" spans="1:1" x14ac:dyDescent="0.2">
      <c r="A2546" s="85"/>
    </row>
    <row r="2547" spans="1:1" x14ac:dyDescent="0.2">
      <c r="A2547" s="85"/>
    </row>
    <row r="2548" spans="1:1" x14ac:dyDescent="0.2">
      <c r="A2548" s="85"/>
    </row>
    <row r="2549" spans="1:1" x14ac:dyDescent="0.2">
      <c r="A2549" s="85"/>
    </row>
    <row r="2550" spans="1:1" x14ac:dyDescent="0.2">
      <c r="A2550" s="85"/>
    </row>
    <row r="2551" spans="1:1" x14ac:dyDescent="0.2">
      <c r="A2551" s="85"/>
    </row>
    <row r="2552" spans="1:1" x14ac:dyDescent="0.2">
      <c r="A2552" s="85"/>
    </row>
    <row r="2553" spans="1:1" x14ac:dyDescent="0.2">
      <c r="A2553" s="85"/>
    </row>
    <row r="2554" spans="1:1" x14ac:dyDescent="0.2">
      <c r="A2554" s="85"/>
    </row>
    <row r="2555" spans="1:1" x14ac:dyDescent="0.2">
      <c r="A2555" s="85"/>
    </row>
    <row r="2556" spans="1:1" x14ac:dyDescent="0.2">
      <c r="A2556" s="85"/>
    </row>
    <row r="2557" spans="1:1" x14ac:dyDescent="0.2">
      <c r="A2557" s="85"/>
    </row>
    <row r="2558" spans="1:1" x14ac:dyDescent="0.2">
      <c r="A2558" s="85"/>
    </row>
    <row r="2559" spans="1:1" x14ac:dyDescent="0.2">
      <c r="A2559" s="85"/>
    </row>
    <row r="2560" spans="1:1" x14ac:dyDescent="0.2">
      <c r="A2560" s="85"/>
    </row>
    <row r="2561" spans="1:1" x14ac:dyDescent="0.2">
      <c r="A2561" s="85"/>
    </row>
    <row r="2562" spans="1:1" x14ac:dyDescent="0.2">
      <c r="A2562" s="85"/>
    </row>
    <row r="2563" spans="1:1" x14ac:dyDescent="0.2">
      <c r="A2563" s="85"/>
    </row>
    <row r="2564" spans="1:1" x14ac:dyDescent="0.2">
      <c r="A2564" s="85"/>
    </row>
    <row r="2565" spans="1:1" x14ac:dyDescent="0.2">
      <c r="A2565" s="85"/>
    </row>
    <row r="2566" spans="1:1" x14ac:dyDescent="0.2">
      <c r="A2566" s="85"/>
    </row>
    <row r="2567" spans="1:1" x14ac:dyDescent="0.2">
      <c r="A2567" s="85"/>
    </row>
    <row r="2568" spans="1:1" x14ac:dyDescent="0.2">
      <c r="A2568" s="85"/>
    </row>
    <row r="2569" spans="1:1" x14ac:dyDescent="0.2">
      <c r="A2569" s="85"/>
    </row>
    <row r="2570" spans="1:1" x14ac:dyDescent="0.2">
      <c r="A2570" s="85"/>
    </row>
    <row r="2571" spans="1:1" x14ac:dyDescent="0.2">
      <c r="A2571" s="85"/>
    </row>
    <row r="2572" spans="1:1" x14ac:dyDescent="0.2">
      <c r="A2572" s="85"/>
    </row>
    <row r="2573" spans="1:1" x14ac:dyDescent="0.2">
      <c r="A2573" s="85"/>
    </row>
    <row r="2574" spans="1:1" x14ac:dyDescent="0.2">
      <c r="A2574" s="85"/>
    </row>
    <row r="2575" spans="1:1" x14ac:dyDescent="0.2">
      <c r="A2575" s="85"/>
    </row>
    <row r="2576" spans="1:1" x14ac:dyDescent="0.2">
      <c r="A2576" s="85"/>
    </row>
    <row r="2577" spans="1:1" x14ac:dyDescent="0.2">
      <c r="A2577" s="85"/>
    </row>
    <row r="2578" spans="1:1" x14ac:dyDescent="0.2">
      <c r="A2578" s="85"/>
    </row>
    <row r="2579" spans="1:1" x14ac:dyDescent="0.2">
      <c r="A2579" s="85"/>
    </row>
    <row r="2580" spans="1:1" x14ac:dyDescent="0.2">
      <c r="A2580" s="85"/>
    </row>
    <row r="2581" spans="1:1" x14ac:dyDescent="0.2">
      <c r="A2581" s="85"/>
    </row>
    <row r="2582" spans="1:1" x14ac:dyDescent="0.2">
      <c r="A2582" s="85"/>
    </row>
    <row r="2583" spans="1:1" x14ac:dyDescent="0.2">
      <c r="A2583" s="85"/>
    </row>
    <row r="2584" spans="1:1" x14ac:dyDescent="0.2">
      <c r="A2584" s="85"/>
    </row>
    <row r="2585" spans="1:1" x14ac:dyDescent="0.2">
      <c r="A2585" s="85"/>
    </row>
    <row r="2586" spans="1:1" x14ac:dyDescent="0.2">
      <c r="A2586" s="85"/>
    </row>
    <row r="2587" spans="1:1" x14ac:dyDescent="0.2">
      <c r="A2587" s="85"/>
    </row>
    <row r="2588" spans="1:1" x14ac:dyDescent="0.2">
      <c r="A2588" s="85"/>
    </row>
    <row r="2589" spans="1:1" x14ac:dyDescent="0.2">
      <c r="A2589" s="85"/>
    </row>
    <row r="2590" spans="1:1" x14ac:dyDescent="0.2">
      <c r="A2590" s="85"/>
    </row>
    <row r="2591" spans="1:1" x14ac:dyDescent="0.2">
      <c r="A2591" s="85"/>
    </row>
    <row r="2592" spans="1:1" x14ac:dyDescent="0.2">
      <c r="A2592" s="85"/>
    </row>
    <row r="2593" spans="1:1" x14ac:dyDescent="0.2">
      <c r="A2593" s="85"/>
    </row>
    <row r="2594" spans="1:1" x14ac:dyDescent="0.2">
      <c r="A2594" s="85"/>
    </row>
    <row r="2595" spans="1:1" x14ac:dyDescent="0.2">
      <c r="A2595" s="85"/>
    </row>
    <row r="2596" spans="1:1" x14ac:dyDescent="0.2">
      <c r="A2596" s="85"/>
    </row>
    <row r="2597" spans="1:1" x14ac:dyDescent="0.2">
      <c r="A2597" s="85"/>
    </row>
    <row r="2598" spans="1:1" x14ac:dyDescent="0.2">
      <c r="A2598" s="85"/>
    </row>
    <row r="2599" spans="1:1" x14ac:dyDescent="0.2">
      <c r="A2599" s="85"/>
    </row>
    <row r="2600" spans="1:1" x14ac:dyDescent="0.2">
      <c r="A2600" s="85"/>
    </row>
    <row r="2601" spans="1:1" x14ac:dyDescent="0.2">
      <c r="A2601" s="85"/>
    </row>
    <row r="2602" spans="1:1" x14ac:dyDescent="0.2">
      <c r="A2602" s="85"/>
    </row>
    <row r="2603" spans="1:1" x14ac:dyDescent="0.2">
      <c r="A2603" s="85"/>
    </row>
    <row r="2604" spans="1:1" x14ac:dyDescent="0.2">
      <c r="A2604" s="85"/>
    </row>
    <row r="2605" spans="1:1" x14ac:dyDescent="0.2">
      <c r="A2605" s="85"/>
    </row>
    <row r="2606" spans="1:1" x14ac:dyDescent="0.2">
      <c r="A2606" s="85"/>
    </row>
    <row r="2607" spans="1:1" x14ac:dyDescent="0.2">
      <c r="A2607" s="85"/>
    </row>
    <row r="2608" spans="1:1" x14ac:dyDescent="0.2">
      <c r="A2608" s="85"/>
    </row>
    <row r="2609" spans="1:1" x14ac:dyDescent="0.2">
      <c r="A2609" s="85"/>
    </row>
    <row r="2610" spans="1:1" x14ac:dyDescent="0.2">
      <c r="A2610" s="85"/>
    </row>
    <row r="2611" spans="1:1" x14ac:dyDescent="0.2">
      <c r="A2611" s="85"/>
    </row>
    <row r="2612" spans="1:1" x14ac:dyDescent="0.2">
      <c r="A2612" s="85"/>
    </row>
    <row r="2613" spans="1:1" x14ac:dyDescent="0.2">
      <c r="A2613" s="85"/>
    </row>
    <row r="2614" spans="1:1" x14ac:dyDescent="0.2">
      <c r="A2614" s="85"/>
    </row>
    <row r="2615" spans="1:1" x14ac:dyDescent="0.2">
      <c r="A2615" s="85"/>
    </row>
    <row r="2616" spans="1:1" x14ac:dyDescent="0.2">
      <c r="A2616" s="85"/>
    </row>
    <row r="2617" spans="1:1" x14ac:dyDescent="0.2">
      <c r="A2617" s="85"/>
    </row>
    <row r="2618" spans="1:1" x14ac:dyDescent="0.2">
      <c r="A2618" s="85"/>
    </row>
    <row r="2619" spans="1:1" x14ac:dyDescent="0.2">
      <c r="A2619" s="85"/>
    </row>
    <row r="2620" spans="1:1" x14ac:dyDescent="0.2">
      <c r="A2620" s="85"/>
    </row>
    <row r="2621" spans="1:1" x14ac:dyDescent="0.2">
      <c r="A2621" s="85"/>
    </row>
    <row r="2622" spans="1:1" x14ac:dyDescent="0.2">
      <c r="A2622" s="85"/>
    </row>
    <row r="2623" spans="1:1" x14ac:dyDescent="0.2">
      <c r="A2623" s="85"/>
    </row>
    <row r="2624" spans="1:1" x14ac:dyDescent="0.2">
      <c r="A2624" s="85"/>
    </row>
    <row r="2625" spans="1:1" x14ac:dyDescent="0.2">
      <c r="A2625" s="85"/>
    </row>
    <row r="2626" spans="1:1" x14ac:dyDescent="0.2">
      <c r="A2626" s="85"/>
    </row>
    <row r="2627" spans="1:1" x14ac:dyDescent="0.2">
      <c r="A2627" s="85"/>
    </row>
    <row r="2628" spans="1:1" x14ac:dyDescent="0.2">
      <c r="A2628" s="85"/>
    </row>
    <row r="2629" spans="1:1" x14ac:dyDescent="0.2">
      <c r="A2629" s="85"/>
    </row>
    <row r="2630" spans="1:1" x14ac:dyDescent="0.2">
      <c r="A2630" s="85"/>
    </row>
    <row r="2631" spans="1:1" x14ac:dyDescent="0.2">
      <c r="A2631" s="85"/>
    </row>
    <row r="2632" spans="1:1" x14ac:dyDescent="0.2">
      <c r="A2632" s="85"/>
    </row>
    <row r="2633" spans="1:1" x14ac:dyDescent="0.2">
      <c r="A2633" s="85"/>
    </row>
    <row r="2634" spans="1:1" x14ac:dyDescent="0.2">
      <c r="A2634" s="85"/>
    </row>
    <row r="2635" spans="1:1" x14ac:dyDescent="0.2">
      <c r="A2635" s="85"/>
    </row>
    <row r="2636" spans="1:1" x14ac:dyDescent="0.2">
      <c r="A2636" s="85"/>
    </row>
    <row r="2637" spans="1:1" x14ac:dyDescent="0.2">
      <c r="A2637" s="85"/>
    </row>
    <row r="2638" spans="1:1" x14ac:dyDescent="0.2">
      <c r="A2638" s="85"/>
    </row>
    <row r="2639" spans="1:1" x14ac:dyDescent="0.2">
      <c r="A2639" s="85"/>
    </row>
    <row r="2640" spans="1:1" x14ac:dyDescent="0.2">
      <c r="A2640" s="85"/>
    </row>
    <row r="2641" spans="1:1" x14ac:dyDescent="0.2">
      <c r="A2641" s="85"/>
    </row>
    <row r="2642" spans="1:1" x14ac:dyDescent="0.2">
      <c r="A2642" s="85"/>
    </row>
    <row r="2643" spans="1:1" x14ac:dyDescent="0.2">
      <c r="A2643" s="85"/>
    </row>
    <row r="2644" spans="1:1" x14ac:dyDescent="0.2">
      <c r="A2644" s="85"/>
    </row>
    <row r="2645" spans="1:1" x14ac:dyDescent="0.2">
      <c r="A2645" s="85"/>
    </row>
    <row r="2646" spans="1:1" x14ac:dyDescent="0.2">
      <c r="A2646" s="85"/>
    </row>
    <row r="2647" spans="1:1" x14ac:dyDescent="0.2">
      <c r="A2647" s="85"/>
    </row>
    <row r="2648" spans="1:1" x14ac:dyDescent="0.2">
      <c r="A2648" s="85"/>
    </row>
    <row r="2649" spans="1:1" x14ac:dyDescent="0.2">
      <c r="A2649" s="85"/>
    </row>
    <row r="2650" spans="1:1" x14ac:dyDescent="0.2">
      <c r="A2650" s="85"/>
    </row>
    <row r="2651" spans="1:1" x14ac:dyDescent="0.2">
      <c r="A2651" s="85"/>
    </row>
    <row r="2652" spans="1:1" x14ac:dyDescent="0.2">
      <c r="A2652" s="85"/>
    </row>
    <row r="2653" spans="1:1" x14ac:dyDescent="0.2">
      <c r="A2653" s="85"/>
    </row>
    <row r="2654" spans="1:1" x14ac:dyDescent="0.2">
      <c r="A2654" s="85"/>
    </row>
    <row r="2655" spans="1:1" x14ac:dyDescent="0.2">
      <c r="A2655" s="85"/>
    </row>
    <row r="2656" spans="1:1" x14ac:dyDescent="0.2">
      <c r="A2656" s="85"/>
    </row>
    <row r="2657" spans="1:1" x14ac:dyDescent="0.2">
      <c r="A2657" s="85"/>
    </row>
    <row r="2658" spans="1:1" x14ac:dyDescent="0.2">
      <c r="A2658" s="85"/>
    </row>
    <row r="2659" spans="1:1" x14ac:dyDescent="0.2">
      <c r="A2659" s="85"/>
    </row>
    <row r="2660" spans="1:1" x14ac:dyDescent="0.2">
      <c r="A2660" s="85"/>
    </row>
    <row r="2661" spans="1:1" x14ac:dyDescent="0.2">
      <c r="A2661" s="85"/>
    </row>
    <row r="2662" spans="1:1" x14ac:dyDescent="0.2">
      <c r="A2662" s="85"/>
    </row>
    <row r="2663" spans="1:1" x14ac:dyDescent="0.2">
      <c r="A2663" s="85"/>
    </row>
    <row r="2664" spans="1:1" x14ac:dyDescent="0.2">
      <c r="A2664" s="85"/>
    </row>
    <row r="2665" spans="1:1" x14ac:dyDescent="0.2">
      <c r="A2665" s="85"/>
    </row>
    <row r="2666" spans="1:1" x14ac:dyDescent="0.2">
      <c r="A2666" s="85"/>
    </row>
    <row r="2667" spans="1:1" x14ac:dyDescent="0.2">
      <c r="A2667" s="85"/>
    </row>
    <row r="2668" spans="1:1" x14ac:dyDescent="0.2">
      <c r="A2668" s="85"/>
    </row>
    <row r="2669" spans="1:1" x14ac:dyDescent="0.2">
      <c r="A2669" s="85"/>
    </row>
    <row r="2670" spans="1:1" x14ac:dyDescent="0.2">
      <c r="A2670" s="85"/>
    </row>
    <row r="2671" spans="1:1" x14ac:dyDescent="0.2">
      <c r="A2671" s="85"/>
    </row>
    <row r="2672" spans="1:1" x14ac:dyDescent="0.2">
      <c r="A2672" s="85"/>
    </row>
    <row r="2673" spans="1:1" x14ac:dyDescent="0.2">
      <c r="A2673" s="85"/>
    </row>
    <row r="2674" spans="1:1" x14ac:dyDescent="0.2">
      <c r="A2674" s="85"/>
    </row>
    <row r="2675" spans="1:1" x14ac:dyDescent="0.2">
      <c r="A2675" s="85"/>
    </row>
    <row r="2676" spans="1:1" x14ac:dyDescent="0.2">
      <c r="A2676" s="85"/>
    </row>
    <row r="2677" spans="1:1" x14ac:dyDescent="0.2">
      <c r="A2677" s="85"/>
    </row>
    <row r="2678" spans="1:1" x14ac:dyDescent="0.2">
      <c r="A2678" s="85"/>
    </row>
    <row r="2679" spans="1:1" x14ac:dyDescent="0.2">
      <c r="A2679" s="85"/>
    </row>
    <row r="2680" spans="1:1" x14ac:dyDescent="0.2">
      <c r="A2680" s="85"/>
    </row>
    <row r="2681" spans="1:1" x14ac:dyDescent="0.2">
      <c r="A2681" s="85"/>
    </row>
    <row r="2682" spans="1:1" x14ac:dyDescent="0.2">
      <c r="A2682" s="85"/>
    </row>
    <row r="2683" spans="1:1" x14ac:dyDescent="0.2">
      <c r="A2683" s="85"/>
    </row>
    <row r="2684" spans="1:1" x14ac:dyDescent="0.2">
      <c r="A2684" s="85"/>
    </row>
    <row r="2685" spans="1:1" x14ac:dyDescent="0.2">
      <c r="A2685" s="85"/>
    </row>
    <row r="2686" spans="1:1" x14ac:dyDescent="0.2">
      <c r="A2686" s="85"/>
    </row>
    <row r="2687" spans="1:1" x14ac:dyDescent="0.2">
      <c r="A2687" s="85"/>
    </row>
    <row r="2688" spans="1:1" x14ac:dyDescent="0.2">
      <c r="A2688" s="85"/>
    </row>
    <row r="2689" spans="1:1" x14ac:dyDescent="0.2">
      <c r="A2689" s="85"/>
    </row>
    <row r="2690" spans="1:1" x14ac:dyDescent="0.2">
      <c r="A2690" s="85"/>
    </row>
    <row r="2691" spans="1:1" x14ac:dyDescent="0.2">
      <c r="A2691" s="85"/>
    </row>
    <row r="2692" spans="1:1" x14ac:dyDescent="0.2">
      <c r="A2692" s="85"/>
    </row>
    <row r="2693" spans="1:1" x14ac:dyDescent="0.2">
      <c r="A2693" s="85"/>
    </row>
    <row r="2694" spans="1:1" x14ac:dyDescent="0.2">
      <c r="A2694" s="85"/>
    </row>
    <row r="2695" spans="1:1" x14ac:dyDescent="0.2">
      <c r="A2695" s="85"/>
    </row>
    <row r="2696" spans="1:1" x14ac:dyDescent="0.2">
      <c r="A2696" s="85"/>
    </row>
    <row r="2697" spans="1:1" x14ac:dyDescent="0.2">
      <c r="A2697" s="85"/>
    </row>
    <row r="2698" spans="1:1" x14ac:dyDescent="0.2">
      <c r="A2698" s="85"/>
    </row>
    <row r="2699" spans="1:1" x14ac:dyDescent="0.2">
      <c r="A2699" s="85"/>
    </row>
    <row r="2700" spans="1:1" x14ac:dyDescent="0.2">
      <c r="A2700" s="85"/>
    </row>
    <row r="2701" spans="1:1" x14ac:dyDescent="0.2">
      <c r="A2701" s="85"/>
    </row>
    <row r="2702" spans="1:1" x14ac:dyDescent="0.2">
      <c r="A2702" s="85"/>
    </row>
    <row r="2703" spans="1:1" x14ac:dyDescent="0.2">
      <c r="A2703" s="85"/>
    </row>
    <row r="2704" spans="1:1" x14ac:dyDescent="0.2">
      <c r="A2704" s="85"/>
    </row>
    <row r="2705" spans="1:1" x14ac:dyDescent="0.2">
      <c r="A2705" s="85"/>
    </row>
    <row r="2706" spans="1:1" x14ac:dyDescent="0.2">
      <c r="A2706" s="85"/>
    </row>
    <row r="2707" spans="1:1" x14ac:dyDescent="0.2">
      <c r="A2707" s="85"/>
    </row>
    <row r="2708" spans="1:1" x14ac:dyDescent="0.2">
      <c r="A2708" s="85"/>
    </row>
    <row r="2709" spans="1:1" x14ac:dyDescent="0.2">
      <c r="A2709" s="85"/>
    </row>
    <row r="2710" spans="1:1" x14ac:dyDescent="0.2">
      <c r="A2710" s="85"/>
    </row>
    <row r="2711" spans="1:1" x14ac:dyDescent="0.2">
      <c r="A2711" s="85"/>
    </row>
    <row r="2712" spans="1:1" x14ac:dyDescent="0.2">
      <c r="A2712" s="85"/>
    </row>
    <row r="2713" spans="1:1" x14ac:dyDescent="0.2">
      <c r="A2713" s="85"/>
    </row>
    <row r="2714" spans="1:1" x14ac:dyDescent="0.2">
      <c r="A2714" s="85"/>
    </row>
    <row r="2715" spans="1:1" x14ac:dyDescent="0.2">
      <c r="A2715" s="85"/>
    </row>
    <row r="2716" spans="1:1" x14ac:dyDescent="0.2">
      <c r="A2716" s="85"/>
    </row>
    <row r="2717" spans="1:1" x14ac:dyDescent="0.2">
      <c r="A2717" s="85"/>
    </row>
    <row r="2718" spans="1:1" x14ac:dyDescent="0.2">
      <c r="A2718" s="85"/>
    </row>
    <row r="2719" spans="1:1" x14ac:dyDescent="0.2">
      <c r="A2719" s="85"/>
    </row>
    <row r="2720" spans="1:1" x14ac:dyDescent="0.2">
      <c r="A2720" s="85"/>
    </row>
    <row r="2721" spans="1:1" x14ac:dyDescent="0.2">
      <c r="A2721" s="85"/>
    </row>
    <row r="2722" spans="1:1" x14ac:dyDescent="0.2">
      <c r="A2722" s="85"/>
    </row>
    <row r="2723" spans="1:1" x14ac:dyDescent="0.2">
      <c r="A2723" s="85"/>
    </row>
    <row r="2724" spans="1:1" x14ac:dyDescent="0.2">
      <c r="A2724" s="85"/>
    </row>
    <row r="2725" spans="1:1" x14ac:dyDescent="0.2">
      <c r="A2725" s="85"/>
    </row>
    <row r="2726" spans="1:1" x14ac:dyDescent="0.2">
      <c r="A2726" s="85"/>
    </row>
    <row r="2727" spans="1:1" x14ac:dyDescent="0.2">
      <c r="A2727" s="85"/>
    </row>
    <row r="2728" spans="1:1" x14ac:dyDescent="0.2">
      <c r="A2728" s="85"/>
    </row>
    <row r="2729" spans="1:1" x14ac:dyDescent="0.2">
      <c r="A2729" s="85"/>
    </row>
    <row r="2730" spans="1:1" x14ac:dyDescent="0.2">
      <c r="A2730" s="85"/>
    </row>
    <row r="2731" spans="1:1" x14ac:dyDescent="0.2">
      <c r="A2731" s="85"/>
    </row>
    <row r="2732" spans="1:1" x14ac:dyDescent="0.2">
      <c r="A2732" s="85"/>
    </row>
    <row r="2733" spans="1:1" x14ac:dyDescent="0.2">
      <c r="A2733" s="85"/>
    </row>
    <row r="2734" spans="1:1" x14ac:dyDescent="0.2">
      <c r="A2734" s="85"/>
    </row>
    <row r="2735" spans="1:1" x14ac:dyDescent="0.2">
      <c r="A2735" s="85"/>
    </row>
    <row r="2736" spans="1:1" x14ac:dyDescent="0.2">
      <c r="A2736" s="85"/>
    </row>
    <row r="2737" spans="1:1" x14ac:dyDescent="0.2">
      <c r="A2737" s="85"/>
    </row>
    <row r="2738" spans="1:1" x14ac:dyDescent="0.2">
      <c r="A2738" s="85"/>
    </row>
    <row r="2739" spans="1:1" x14ac:dyDescent="0.2">
      <c r="A2739" s="85"/>
    </row>
    <row r="2740" spans="1:1" x14ac:dyDescent="0.2">
      <c r="A2740" s="85"/>
    </row>
    <row r="2741" spans="1:1" x14ac:dyDescent="0.2">
      <c r="A2741" s="85"/>
    </row>
    <row r="2742" spans="1:1" x14ac:dyDescent="0.2">
      <c r="A2742" s="85"/>
    </row>
    <row r="2743" spans="1:1" x14ac:dyDescent="0.2">
      <c r="A2743" s="85"/>
    </row>
    <row r="2744" spans="1:1" x14ac:dyDescent="0.2">
      <c r="A2744" s="85"/>
    </row>
    <row r="2745" spans="1:1" x14ac:dyDescent="0.2">
      <c r="A2745" s="85"/>
    </row>
    <row r="2746" spans="1:1" x14ac:dyDescent="0.2">
      <c r="A2746" s="85"/>
    </row>
    <row r="2747" spans="1:1" x14ac:dyDescent="0.2">
      <c r="A2747" s="85"/>
    </row>
    <row r="2748" spans="1:1" x14ac:dyDescent="0.2">
      <c r="A2748" s="85"/>
    </row>
    <row r="2749" spans="1:1" x14ac:dyDescent="0.2">
      <c r="A2749" s="85"/>
    </row>
    <row r="2750" spans="1:1" x14ac:dyDescent="0.2">
      <c r="A2750" s="85"/>
    </row>
    <row r="2751" spans="1:1" x14ac:dyDescent="0.2">
      <c r="A2751" s="85"/>
    </row>
    <row r="2752" spans="1:1" x14ac:dyDescent="0.2">
      <c r="A2752" s="85"/>
    </row>
    <row r="2753" spans="1:1" x14ac:dyDescent="0.2">
      <c r="A2753" s="85"/>
    </row>
    <row r="2754" spans="1:1" x14ac:dyDescent="0.2">
      <c r="A2754" s="85"/>
    </row>
    <row r="2755" spans="1:1" x14ac:dyDescent="0.2">
      <c r="A2755" s="85"/>
    </row>
    <row r="2756" spans="1:1" x14ac:dyDescent="0.2">
      <c r="A2756" s="85"/>
    </row>
    <row r="2757" spans="1:1" x14ac:dyDescent="0.2">
      <c r="A2757" s="85"/>
    </row>
    <row r="2758" spans="1:1" x14ac:dyDescent="0.2">
      <c r="A2758" s="85"/>
    </row>
    <row r="2759" spans="1:1" x14ac:dyDescent="0.2">
      <c r="A2759" s="85"/>
    </row>
    <row r="2760" spans="1:1" x14ac:dyDescent="0.2">
      <c r="A2760" s="85"/>
    </row>
    <row r="2761" spans="1:1" x14ac:dyDescent="0.2">
      <c r="A2761" s="85"/>
    </row>
    <row r="2762" spans="1:1" x14ac:dyDescent="0.2">
      <c r="A2762" s="85"/>
    </row>
    <row r="2763" spans="1:1" x14ac:dyDescent="0.2">
      <c r="A2763" s="85"/>
    </row>
    <row r="2764" spans="1:1" x14ac:dyDescent="0.2">
      <c r="A2764" s="85"/>
    </row>
    <row r="2765" spans="1:1" x14ac:dyDescent="0.2">
      <c r="A2765" s="85"/>
    </row>
    <row r="2766" spans="1:1" x14ac:dyDescent="0.2">
      <c r="A2766" s="85"/>
    </row>
    <row r="2767" spans="1:1" x14ac:dyDescent="0.2">
      <c r="A2767" s="85"/>
    </row>
    <row r="2768" spans="1:1" x14ac:dyDescent="0.2">
      <c r="A2768" s="85"/>
    </row>
    <row r="2769" spans="1:1" x14ac:dyDescent="0.2">
      <c r="A2769" s="85"/>
    </row>
    <row r="2770" spans="1:1" x14ac:dyDescent="0.2">
      <c r="A2770" s="85"/>
    </row>
    <row r="2771" spans="1:1" x14ac:dyDescent="0.2">
      <c r="A2771" s="85"/>
    </row>
    <row r="2772" spans="1:1" x14ac:dyDescent="0.2">
      <c r="A2772" s="85"/>
    </row>
    <row r="2773" spans="1:1" x14ac:dyDescent="0.2">
      <c r="A2773" s="85"/>
    </row>
    <row r="2774" spans="1:1" x14ac:dyDescent="0.2">
      <c r="A2774" s="85"/>
    </row>
    <row r="2775" spans="1:1" x14ac:dyDescent="0.2">
      <c r="A2775" s="85"/>
    </row>
    <row r="2776" spans="1:1" x14ac:dyDescent="0.2">
      <c r="A2776" s="85"/>
    </row>
    <row r="2777" spans="1:1" x14ac:dyDescent="0.2">
      <c r="A2777" s="85"/>
    </row>
    <row r="2778" spans="1:1" x14ac:dyDescent="0.2">
      <c r="A2778" s="85"/>
    </row>
    <row r="2779" spans="1:1" x14ac:dyDescent="0.2">
      <c r="A2779" s="85"/>
    </row>
    <row r="2780" spans="1:1" x14ac:dyDescent="0.2">
      <c r="A2780" s="85"/>
    </row>
    <row r="2781" spans="1:1" x14ac:dyDescent="0.2">
      <c r="A2781" s="85"/>
    </row>
    <row r="2782" spans="1:1" x14ac:dyDescent="0.2">
      <c r="A2782" s="85"/>
    </row>
    <row r="2783" spans="1:1" ht="15" thickBot="1" x14ac:dyDescent="0.25">
      <c r="A2783" s="86"/>
    </row>
  </sheetData>
  <sheetProtection algorithmName="SHA-512" hashValue="Hvu2HPBsIJBOuP7KZXlG2QGk2y30+9INLnqen/MHSsbT2IYClejmJtRKy/5+7lg/ovYISsqXCdz7TPbnFMMzTQ==" saltValue="f/LPiIZlKsarQ6EgIGIgsw==" spinCount="100000" sheet="1" objects="1" scenarios="1"/>
  <sortState ref="A2:B231">
    <sortCondition ref="A1"/>
  </sortState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Plan1</vt:lpstr>
      <vt:lpstr>Plan2</vt:lpstr>
      <vt:lpstr>Plan1!Area_de_impressao</vt:lpstr>
      <vt:lpstr>try</vt:lpstr>
    </vt:vector>
  </TitlesOfParts>
  <Company>Default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 Users</dc:creator>
  <cp:lastModifiedBy>VENDAS</cp:lastModifiedBy>
  <cp:lastPrinted>2026-08-31T10:23:56Z</cp:lastPrinted>
  <dcterms:created xsi:type="dcterms:W3CDTF">2007-01-29T07:32:47Z</dcterms:created>
  <dcterms:modified xsi:type="dcterms:W3CDTF">2026-09-03T17:35:21Z</dcterms:modified>
</cp:coreProperties>
</file>