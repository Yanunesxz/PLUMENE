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PASTA 2026\CATÁLOGO CORPO SENSUAL\"/>
    </mc:Choice>
  </mc:AlternateContent>
  <xr:revisionPtr revIDLastSave="0" documentId="13_ncr:1_{CED0FCB9-C34C-43D7-9B45-3C1A828F2F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2" r:id="rId1"/>
    <sheet name="Plan2" sheetId="3" r:id="rId2"/>
  </sheets>
  <definedNames>
    <definedName name="_xlnm._FilterDatabase" localSheetId="1" hidden="1">Plan2!$A$205:$F$352</definedName>
    <definedName name="_xlnm.Print_Area" localSheetId="0">Plan1!$A$1:$AB$50</definedName>
    <definedName name="try">Plan2!$A$1:$F$352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" i="2" l="1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13" i="2"/>
  <c r="AA14" i="2" l="1"/>
  <c r="AA41" i="2" l="1"/>
  <c r="AA42" i="2"/>
  <c r="AA43" i="2"/>
  <c r="AA44" i="2"/>
  <c r="AB44" i="2" l="1"/>
  <c r="AB43" i="2"/>
  <c r="AB42" i="2"/>
  <c r="AB41" i="2"/>
  <c r="AA13" i="2"/>
  <c r="AB13" i="2" s="1"/>
  <c r="AA15" i="2" l="1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B40" i="2" s="1"/>
  <c r="AB32" i="2" l="1"/>
  <c r="AB37" i="2"/>
  <c r="AB24" i="2"/>
  <c r="AB29" i="2"/>
  <c r="AB21" i="2"/>
  <c r="AB16" i="2"/>
  <c r="AB39" i="2"/>
  <c r="AB31" i="2"/>
  <c r="AB23" i="2"/>
  <c r="AB38" i="2"/>
  <c r="AB30" i="2"/>
  <c r="AB22" i="2"/>
  <c r="AB36" i="2"/>
  <c r="AB28" i="2"/>
  <c r="AB20" i="2"/>
  <c r="AB35" i="2"/>
  <c r="AB27" i="2"/>
  <c r="AB19" i="2"/>
  <c r="AB34" i="2"/>
  <c r="AB26" i="2"/>
  <c r="AB18" i="2"/>
  <c r="AB33" i="2"/>
  <c r="AB25" i="2"/>
  <c r="AB17" i="2"/>
  <c r="AB15" i="2"/>
  <c r="AB14" i="2"/>
  <c r="Z45" i="2"/>
  <c r="AB45" i="2" l="1"/>
  <c r="AB47" i="2" l="1"/>
  <c r="AB48" i="2" s="1"/>
</calcChain>
</file>

<file path=xl/sharedStrings.xml><?xml version="1.0" encoding="utf-8"?>
<sst xmlns="http://schemas.openxmlformats.org/spreadsheetml/2006/main" count="330" uniqueCount="218">
  <si>
    <t>P</t>
  </si>
  <si>
    <t>M</t>
  </si>
  <si>
    <t>G</t>
  </si>
  <si>
    <t>REF</t>
  </si>
  <si>
    <t>TOTAL</t>
  </si>
  <si>
    <t>FORMA  PGTO</t>
  </si>
  <si>
    <t>COND PGTO</t>
  </si>
  <si>
    <t>GG</t>
  </si>
  <si>
    <t>PP</t>
  </si>
  <si>
    <t>XG</t>
  </si>
  <si>
    <t>QUANT</t>
  </si>
  <si>
    <t>UNIT</t>
  </si>
  <si>
    <t>Total PÇ's</t>
  </si>
  <si>
    <t>OBSERVAÇÃO</t>
  </si>
  <si>
    <t>REPRESENTANTE :</t>
  </si>
  <si>
    <t>DATA :</t>
  </si>
  <si>
    <t>RAZÃO SOCIAL:</t>
  </si>
  <si>
    <t>ENDEREÇO:</t>
  </si>
  <si>
    <t>CIDADE:</t>
  </si>
  <si>
    <t>E-mail :</t>
  </si>
  <si>
    <t>CNPJ / CPF:</t>
  </si>
  <si>
    <t>CEP :</t>
  </si>
  <si>
    <t>TEL:</t>
  </si>
  <si>
    <t>UF:</t>
  </si>
  <si>
    <t xml:space="preserve">A VISTA </t>
  </si>
  <si>
    <t>CARTÃO</t>
  </si>
  <si>
    <t>BOLETO</t>
  </si>
  <si>
    <t>Inscrição Estadual:</t>
  </si>
  <si>
    <t>Bairro :</t>
  </si>
  <si>
    <t>Nome Fantasia:</t>
  </si>
  <si>
    <t xml:space="preserve">Nª PED </t>
  </si>
  <si>
    <t>CHEQUE</t>
  </si>
  <si>
    <t>30/60/90/120</t>
  </si>
  <si>
    <t>15/30</t>
  </si>
  <si>
    <t>A VISTA</t>
  </si>
  <si>
    <t>30/60</t>
  </si>
  <si>
    <t>20</t>
  </si>
  <si>
    <t>10</t>
  </si>
  <si>
    <t>28</t>
  </si>
  <si>
    <t>15/30/45</t>
  </si>
  <si>
    <t>30/45/60</t>
  </si>
  <si>
    <t>45</t>
  </si>
  <si>
    <t>Personalizada:</t>
  </si>
  <si>
    <t>Data da Entrega:</t>
  </si>
  <si>
    <t xml:space="preserve">FRETE </t>
  </si>
  <si>
    <t>COND DE PAGAMENTO</t>
  </si>
  <si>
    <t xml:space="preserve">(FOB) Pago p/ Cliente </t>
  </si>
  <si>
    <t>(CIF) Pago p/ Fábrica</t>
  </si>
  <si>
    <t>WhatsApp</t>
  </si>
  <si>
    <t>0015E</t>
  </si>
  <si>
    <t>0080E</t>
  </si>
  <si>
    <t>0083E</t>
  </si>
  <si>
    <t>0085E</t>
  </si>
  <si>
    <t>0086E</t>
  </si>
  <si>
    <t>0087E</t>
  </si>
  <si>
    <t>0088E</t>
  </si>
  <si>
    <t>0090E</t>
  </si>
  <si>
    <t>0091E</t>
  </si>
  <si>
    <t>0092E</t>
  </si>
  <si>
    <t>0093E</t>
  </si>
  <si>
    <t>0094E</t>
  </si>
  <si>
    <t>0095E</t>
  </si>
  <si>
    <t>0096E</t>
  </si>
  <si>
    <t>0106E</t>
  </si>
  <si>
    <t>0109E</t>
  </si>
  <si>
    <t>0110E</t>
  </si>
  <si>
    <t>0111E</t>
  </si>
  <si>
    <t>0115E</t>
  </si>
  <si>
    <t>0116E</t>
  </si>
  <si>
    <t>0123E</t>
  </si>
  <si>
    <t>0125E</t>
  </si>
  <si>
    <t>0126E</t>
  </si>
  <si>
    <t>0128E</t>
  </si>
  <si>
    <t>0129E</t>
  </si>
  <si>
    <t>0130E</t>
  </si>
  <si>
    <t>0131E</t>
  </si>
  <si>
    <t>0135E</t>
  </si>
  <si>
    <t>0140E</t>
  </si>
  <si>
    <t>0145E</t>
  </si>
  <si>
    <t>0159E</t>
  </si>
  <si>
    <t>0160E</t>
  </si>
  <si>
    <t>0161E</t>
  </si>
  <si>
    <t>0171E</t>
  </si>
  <si>
    <t>0172E</t>
  </si>
  <si>
    <t>0180E</t>
  </si>
  <si>
    <t>0199E</t>
  </si>
  <si>
    <t>0200E</t>
  </si>
  <si>
    <t>0216E</t>
  </si>
  <si>
    <t>0240E</t>
  </si>
  <si>
    <t>0245E</t>
  </si>
  <si>
    <t>0310E</t>
  </si>
  <si>
    <t>0316E</t>
  </si>
  <si>
    <t>0320E</t>
  </si>
  <si>
    <t>0321E</t>
  </si>
  <si>
    <t>0325E</t>
  </si>
  <si>
    <t>0327E</t>
  </si>
  <si>
    <t>0328E</t>
  </si>
  <si>
    <t>0329E</t>
  </si>
  <si>
    <t>0330E</t>
  </si>
  <si>
    <t>0350E</t>
  </si>
  <si>
    <t>0360E</t>
  </si>
  <si>
    <t>0380E</t>
  </si>
  <si>
    <t>0390E</t>
  </si>
  <si>
    <t>0395E</t>
  </si>
  <si>
    <t>0400E</t>
  </si>
  <si>
    <t>0405E</t>
  </si>
  <si>
    <t>0429E</t>
  </si>
  <si>
    <t>0430E</t>
  </si>
  <si>
    <t>0450E</t>
  </si>
  <si>
    <t>0499E</t>
  </si>
  <si>
    <t>0500E</t>
  </si>
  <si>
    <t>0502E</t>
  </si>
  <si>
    <t>0550E</t>
  </si>
  <si>
    <t>0570E</t>
  </si>
  <si>
    <t>0580E</t>
  </si>
  <si>
    <t>0581E</t>
  </si>
  <si>
    <t>0582E</t>
  </si>
  <si>
    <t>0590E</t>
  </si>
  <si>
    <t>0595E</t>
  </si>
  <si>
    <t>0600E</t>
  </si>
  <si>
    <t>0601E</t>
  </si>
  <si>
    <t>0605E</t>
  </si>
  <si>
    <t>0640E</t>
  </si>
  <si>
    <t>0650E</t>
  </si>
  <si>
    <t>0690E</t>
  </si>
  <si>
    <t>0710E</t>
  </si>
  <si>
    <t>0711E</t>
  </si>
  <si>
    <t>0720E</t>
  </si>
  <si>
    <t>0721E</t>
  </si>
  <si>
    <t>0730E</t>
  </si>
  <si>
    <t>0750E</t>
  </si>
  <si>
    <t>0760E</t>
  </si>
  <si>
    <t>0770E</t>
  </si>
  <si>
    <t>0800E</t>
  </si>
  <si>
    <t>0830E</t>
  </si>
  <si>
    <t>0841E</t>
  </si>
  <si>
    <t>0845E</t>
  </si>
  <si>
    <t>0852E</t>
  </si>
  <si>
    <t>0853E</t>
  </si>
  <si>
    <t>0854E</t>
  </si>
  <si>
    <t>0855E</t>
  </si>
  <si>
    <t>0870E</t>
  </si>
  <si>
    <t>0880E</t>
  </si>
  <si>
    <t>0901E</t>
  </si>
  <si>
    <t>0911E</t>
  </si>
  <si>
    <t>2013E</t>
  </si>
  <si>
    <t>2130E</t>
  </si>
  <si>
    <t>2131E</t>
  </si>
  <si>
    <t>2134E</t>
  </si>
  <si>
    <t>2226E</t>
  </si>
  <si>
    <t>4130E</t>
  </si>
  <si>
    <t>4131E</t>
  </si>
  <si>
    <t>PEDIDO - CS</t>
  </si>
  <si>
    <t>Valor Parcial</t>
  </si>
  <si>
    <t>DESC  %</t>
  </si>
  <si>
    <t>R$</t>
  </si>
  <si>
    <t>*PROMOÇÃO*</t>
  </si>
  <si>
    <t>0122E</t>
  </si>
  <si>
    <t>0301E</t>
  </si>
  <si>
    <t>0174E</t>
  </si>
  <si>
    <t>0175E</t>
  </si>
  <si>
    <t>0220E</t>
  </si>
  <si>
    <t>0221E</t>
  </si>
  <si>
    <t>0222E</t>
  </si>
  <si>
    <t>0223E</t>
  </si>
  <si>
    <t>0169E</t>
  </si>
  <si>
    <t>0260E</t>
  </si>
  <si>
    <t>0070E</t>
  </si>
  <si>
    <t>0072E</t>
  </si>
  <si>
    <t>0304E</t>
  </si>
  <si>
    <t>0307E</t>
  </si>
  <si>
    <t>0354E</t>
  </si>
  <si>
    <t>0355E</t>
  </si>
  <si>
    <t>0358E</t>
  </si>
  <si>
    <t>0501E</t>
  </si>
  <si>
    <t>0702E</t>
  </si>
  <si>
    <t>0703E</t>
  </si>
  <si>
    <t>0704E</t>
  </si>
  <si>
    <t>0705E</t>
  </si>
  <si>
    <t>0706E</t>
  </si>
  <si>
    <t>0714E</t>
  </si>
  <si>
    <t>0715E</t>
  </si>
  <si>
    <t>0716E</t>
  </si>
  <si>
    <t>XG2</t>
  </si>
  <si>
    <t>XG3</t>
  </si>
  <si>
    <t>XG4</t>
  </si>
  <si>
    <t>PLUS</t>
  </si>
  <si>
    <t>JUVENIL</t>
  </si>
  <si>
    <t>INFANTIL / ADULTO</t>
  </si>
  <si>
    <t>TAMANHOS</t>
  </si>
  <si>
    <t>44/46</t>
  </si>
  <si>
    <t>Contato:</t>
  </si>
  <si>
    <t>0107E</t>
  </si>
  <si>
    <t>0359E</t>
  </si>
  <si>
    <t>0402E</t>
  </si>
  <si>
    <t>0719E</t>
  </si>
  <si>
    <t>0848E</t>
  </si>
  <si>
    <t>0849E</t>
  </si>
  <si>
    <t>0851E</t>
  </si>
  <si>
    <t>0990E</t>
  </si>
  <si>
    <t>1001E</t>
  </si>
  <si>
    <t>1002E</t>
  </si>
  <si>
    <t>1003E</t>
  </si>
  <si>
    <t>1004E</t>
  </si>
  <si>
    <t>1005E</t>
  </si>
  <si>
    <t>1008E</t>
  </si>
  <si>
    <t>1009E</t>
  </si>
  <si>
    <t>1025E</t>
  </si>
  <si>
    <t>1026E</t>
  </si>
  <si>
    <t>1027E</t>
  </si>
  <si>
    <t>1030E</t>
  </si>
  <si>
    <t>1031E</t>
  </si>
  <si>
    <t>1032E</t>
  </si>
  <si>
    <t>1033E</t>
  </si>
  <si>
    <t>1034E</t>
  </si>
  <si>
    <t>1035E</t>
  </si>
  <si>
    <t>1043E</t>
  </si>
  <si>
    <t>1042E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</si>
</sst>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000000000\-00"/>
    <numFmt numFmtId="167" formatCode="00000\-000"/>
    <numFmt numFmtId="168" formatCode="000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b/>
      <sz val="20"/>
      <color theme="5" tint="-0.499984740745262"/>
      <name val="Cambria"/>
      <family val="1"/>
      <scheme val="major"/>
    </font>
    <font>
      <b/>
      <sz val="1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44" fontId="13" fillId="0" borderId="0" applyFont="0" applyFill="0" applyBorder="0" applyAlignment="0" applyProtection="0"/>
  </cellStyleXfs>
  <cellXfs count="189">
    <xf numFmtId="0" fontId="0" fillId="0" borderId="0" xfId="0"/>
    <xf numFmtId="0" fontId="4" fillId="0" borderId="0" xfId="0" applyFont="1"/>
    <xf numFmtId="0" fontId="6" fillId="0" borderId="0" xfId="0" applyFont="1"/>
    <xf numFmtId="165" fontId="3" fillId="0" borderId="1" xfId="1" applyFont="1" applyBorder="1" applyAlignment="1">
      <alignment horizontal="center"/>
    </xf>
    <xf numFmtId="165" fontId="3" fillId="0" borderId="1" xfId="1" applyFont="1" applyBorder="1" applyAlignment="1">
      <alignment horizontal="center" vertical="center"/>
    </xf>
    <xf numFmtId="168" fontId="6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2" fillId="0" borderId="0" xfId="0" applyFont="1"/>
    <xf numFmtId="0" fontId="2" fillId="0" borderId="0" xfId="0" applyFont="1"/>
    <xf numFmtId="0" fontId="5" fillId="0" borderId="0" xfId="0" applyFont="1"/>
    <xf numFmtId="0" fontId="2" fillId="0" borderId="0" xfId="0" quotePrefix="1" applyFont="1"/>
    <xf numFmtId="168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 vertical="center"/>
    </xf>
    <xf numFmtId="165" fontId="3" fillId="0" borderId="1" xfId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wrapText="1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3" borderId="22" xfId="0" applyFont="1" applyFill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4" borderId="3" xfId="0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 applyProtection="1">
      <protection locked="0"/>
    </xf>
    <xf numFmtId="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5" fillId="0" borderId="22" xfId="0" applyFont="1" applyBorder="1" applyAlignment="1">
      <alignment vertical="center"/>
    </xf>
    <xf numFmtId="0" fontId="7" fillId="0" borderId="13" xfId="0" applyFont="1" applyBorder="1" applyAlignment="1">
      <alignment horizontal="center"/>
    </xf>
    <xf numFmtId="44" fontId="2" fillId="0" borderId="1" xfId="4" applyFont="1" applyFill="1" applyBorder="1" applyProtection="1"/>
    <xf numFmtId="44" fontId="5" fillId="0" borderId="6" xfId="4" applyFont="1" applyFill="1" applyBorder="1" applyProtection="1"/>
    <xf numFmtId="0" fontId="0" fillId="0" borderId="13" xfId="0" applyBorder="1" applyAlignment="1">
      <alignment horizontal="center"/>
    </xf>
    <xf numFmtId="0" fontId="2" fillId="0" borderId="11" xfId="0" applyFont="1" applyBorder="1" applyAlignment="1">
      <alignment horizontal="right"/>
    </xf>
    <xf numFmtId="164" fontId="7" fillId="0" borderId="7" xfId="0" applyNumberFormat="1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 vertical="center"/>
      <protection locked="0"/>
    </xf>
    <xf numFmtId="3" fontId="17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 applyProtection="1">
      <alignment horizontal="center" vertical="center"/>
      <protection locked="0"/>
    </xf>
    <xf numFmtId="3" fontId="5" fillId="4" borderId="1" xfId="0" applyNumberFormat="1" applyFont="1" applyFill="1" applyBorder="1" applyAlignment="1" applyProtection="1">
      <alignment vertical="center"/>
      <protection locked="0"/>
    </xf>
    <xf numFmtId="168" fontId="5" fillId="4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>
      <alignment horizontal="center"/>
    </xf>
    <xf numFmtId="164" fontId="7" fillId="0" borderId="28" xfId="0" applyNumberFormat="1" applyFont="1" applyBorder="1" applyAlignment="1">
      <alignment horizontal="center"/>
    </xf>
    <xf numFmtId="44" fontId="2" fillId="0" borderId="29" xfId="4" applyFont="1" applyFill="1" applyBorder="1" applyProtection="1"/>
    <xf numFmtId="44" fontId="5" fillId="0" borderId="30" xfId="4" applyFont="1" applyFill="1" applyBorder="1" applyProtection="1"/>
    <xf numFmtId="0" fontId="14" fillId="4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/>
    <xf numFmtId="4" fontId="2" fillId="0" borderId="21" xfId="0" applyNumberFormat="1" applyFont="1" applyBorder="1" applyProtection="1">
      <protection locked="0"/>
    </xf>
    <xf numFmtId="164" fontId="7" fillId="0" borderId="38" xfId="0" applyNumberFormat="1" applyFont="1" applyBorder="1" applyAlignment="1">
      <alignment horizontal="center"/>
    </xf>
    <xf numFmtId="44" fontId="2" fillId="0" borderId="4" xfId="4" applyFont="1" applyFill="1" applyBorder="1" applyProtection="1"/>
    <xf numFmtId="0" fontId="5" fillId="0" borderId="15" xfId="0" applyFont="1" applyBorder="1" applyAlignment="1">
      <alignment horizontal="center" vertical="center"/>
    </xf>
    <xf numFmtId="44" fontId="5" fillId="0" borderId="39" xfId="4" applyFont="1" applyFill="1" applyBorder="1" applyProtection="1"/>
    <xf numFmtId="44" fontId="5" fillId="0" borderId="11" xfId="4" applyFont="1" applyFill="1" applyBorder="1" applyAlignment="1" applyProtection="1">
      <alignment horizontal="right" vertical="center"/>
    </xf>
    <xf numFmtId="4" fontId="2" fillId="0" borderId="21" xfId="0" applyNumberFormat="1" applyFont="1" applyBorder="1" applyAlignment="1">
      <alignment vertical="center"/>
    </xf>
    <xf numFmtId="4" fontId="2" fillId="4" borderId="15" xfId="0" applyNumberFormat="1" applyFont="1" applyFill="1" applyBorder="1" applyAlignment="1">
      <alignment vertical="center"/>
    </xf>
    <xf numFmtId="4" fontId="2" fillId="0" borderId="40" xfId="0" applyNumberFormat="1" applyFont="1" applyBorder="1" applyAlignment="1">
      <alignment horizontal="right" vertical="center"/>
    </xf>
    <xf numFmtId="9" fontId="2" fillId="4" borderId="11" xfId="0" applyNumberFormat="1" applyFont="1" applyFill="1" applyBorder="1" applyAlignment="1" applyProtection="1">
      <alignment horizontal="right" vertical="center"/>
      <protection locked="0"/>
    </xf>
    <xf numFmtId="0" fontId="5" fillId="0" borderId="23" xfId="0" applyFont="1" applyBorder="1" applyAlignment="1">
      <alignment vertical="center"/>
    </xf>
    <xf numFmtId="0" fontId="9" fillId="4" borderId="23" xfId="0" applyFont="1" applyFill="1" applyBorder="1" applyAlignment="1" applyProtection="1">
      <alignment vertical="center"/>
      <protection locked="0"/>
    </xf>
    <xf numFmtId="0" fontId="7" fillId="0" borderId="8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168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10" fillId="0" borderId="0" xfId="1" applyFont="1" applyBorder="1" applyAlignment="1">
      <alignment horizontal="center"/>
    </xf>
    <xf numFmtId="165" fontId="10" fillId="0" borderId="0" xfId="0" applyNumberFormat="1" applyFont="1" applyAlignment="1">
      <alignment horizontal="center"/>
    </xf>
    <xf numFmtId="165" fontId="3" fillId="0" borderId="2" xfId="1" applyFont="1" applyBorder="1" applyAlignment="1">
      <alignment horizontal="center" vertical="center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166" fontId="2" fillId="0" borderId="24" xfId="0" applyNumberFormat="1" applyFont="1" applyBorder="1" applyAlignment="1" applyProtection="1">
      <alignment horizontal="center" vertical="center"/>
      <protection locked="0"/>
    </xf>
    <xf numFmtId="166" fontId="2" fillId="0" borderId="26" xfId="0" applyNumberFormat="1" applyFont="1" applyBorder="1" applyAlignment="1" applyProtection="1">
      <alignment horizontal="center" vertical="center"/>
      <protection locked="0"/>
    </xf>
    <xf numFmtId="166" fontId="2" fillId="0" borderId="25" xfId="0" applyNumberFormat="1" applyFont="1" applyBorder="1" applyAlignment="1" applyProtection="1">
      <alignment horizontal="center" vertical="center"/>
      <protection locked="0"/>
    </xf>
    <xf numFmtId="3" fontId="5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>
      <alignment horizontal="center" vertical="center"/>
    </xf>
    <xf numFmtId="0" fontId="2" fillId="0" borderId="26" xfId="0" applyFont="1" applyBorder="1" applyAlignment="1" applyProtection="1">
      <alignment horizontal="center" vertical="center"/>
      <protection locked="0"/>
    </xf>
    <xf numFmtId="167" fontId="17" fillId="0" borderId="24" xfId="0" applyNumberFormat="1" applyFont="1" applyBorder="1" applyAlignment="1">
      <alignment horizontal="center" vertical="center"/>
    </xf>
    <xf numFmtId="167" fontId="17" fillId="0" borderId="25" xfId="0" applyNumberFormat="1" applyFont="1" applyBorder="1" applyAlignment="1">
      <alignment horizontal="center" vertical="center"/>
    </xf>
    <xf numFmtId="0" fontId="21" fillId="3" borderId="34" xfId="0" applyFont="1" applyFill="1" applyBorder="1" applyAlignment="1" applyProtection="1">
      <alignment horizontal="center" vertical="center"/>
      <protection locked="0"/>
    </xf>
    <xf numFmtId="0" fontId="21" fillId="3" borderId="35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 applyProtection="1">
      <alignment horizontal="center" vertical="center"/>
      <protection locked="0"/>
    </xf>
    <xf numFmtId="0" fontId="21" fillId="3" borderId="31" xfId="0" applyFont="1" applyFill="1" applyBorder="1" applyAlignment="1" applyProtection="1">
      <alignment horizontal="center" vertical="center"/>
      <protection locked="0"/>
    </xf>
    <xf numFmtId="0" fontId="21" fillId="3" borderId="32" xfId="0" applyFont="1" applyFill="1" applyBorder="1" applyAlignment="1" applyProtection="1">
      <alignment horizontal="center" vertical="center"/>
      <protection locked="0"/>
    </xf>
    <xf numFmtId="0" fontId="15" fillId="4" borderId="1" xfId="0" applyFont="1" applyFill="1" applyBorder="1" applyAlignment="1">
      <alignment horizontal="center"/>
    </xf>
    <xf numFmtId="0" fontId="21" fillId="3" borderId="3" xfId="0" applyFont="1" applyFill="1" applyBorder="1" applyAlignment="1" applyProtection="1">
      <alignment horizontal="center" vertical="center"/>
      <protection locked="0"/>
    </xf>
    <xf numFmtId="0" fontId="21" fillId="3" borderId="13" xfId="0" applyFont="1" applyFill="1" applyBorder="1" applyAlignment="1" applyProtection="1">
      <alignment horizontal="center" vertical="center"/>
      <protection locked="0"/>
    </xf>
    <xf numFmtId="0" fontId="21" fillId="3" borderId="2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0" fontId="21" fillId="3" borderId="37" xfId="0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5" fillId="0" borderId="22" xfId="0" applyFont="1" applyBorder="1" applyAlignment="1">
      <alignment horizontal="left" vertical="center"/>
    </xf>
    <xf numFmtId="0" fontId="19" fillId="4" borderId="44" xfId="0" applyFont="1" applyFill="1" applyBorder="1" applyAlignment="1">
      <alignment horizontal="center" vertical="center"/>
    </xf>
    <xf numFmtId="0" fontId="19" fillId="4" borderId="45" xfId="0" applyFont="1" applyFill="1" applyBorder="1" applyAlignment="1">
      <alignment horizontal="center" vertical="center"/>
    </xf>
    <xf numFmtId="0" fontId="19" fillId="4" borderId="46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22" xfId="0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14" fontId="5" fillId="0" borderId="41" xfId="0" applyNumberFormat="1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3" borderId="24" xfId="0" applyFont="1" applyFill="1" applyBorder="1" applyAlignment="1" applyProtection="1">
      <alignment horizontal="center" vertical="center"/>
      <protection locked="0"/>
    </xf>
    <xf numFmtId="0" fontId="5" fillId="3" borderId="26" xfId="0" applyFont="1" applyFill="1" applyBorder="1" applyAlignment="1" applyProtection="1">
      <alignment horizontal="center" vertical="center"/>
      <protection locked="0"/>
    </xf>
    <xf numFmtId="0" fontId="5" fillId="3" borderId="25" xfId="0" applyFont="1" applyFill="1" applyBorder="1" applyAlignment="1" applyProtection="1">
      <alignment horizontal="center" vertical="center"/>
      <protection locked="0"/>
    </xf>
    <xf numFmtId="0" fontId="21" fillId="3" borderId="5" xfId="0" applyFont="1" applyFill="1" applyBorder="1" applyAlignment="1" applyProtection="1">
      <alignment horizontal="center" vertical="center"/>
      <protection locked="0"/>
    </xf>
    <xf numFmtId="0" fontId="21" fillId="3" borderId="27" xfId="0" applyFont="1" applyFill="1" applyBorder="1" applyAlignment="1" applyProtection="1">
      <alignment horizontal="center" vertical="center"/>
      <protection locked="0"/>
    </xf>
    <xf numFmtId="0" fontId="21" fillId="3" borderId="3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5" fillId="0" borderId="16" xfId="0" applyFont="1" applyBorder="1" applyAlignment="1" applyProtection="1">
      <alignment horizontal="left" vertical="top" wrapText="1"/>
      <protection locked="0"/>
    </xf>
    <xf numFmtId="0" fontId="5" fillId="0" borderId="17" xfId="0" applyFont="1" applyBorder="1" applyAlignment="1" applyProtection="1">
      <alignment horizontal="left" vertical="top" wrapText="1"/>
      <protection locked="0"/>
    </xf>
    <xf numFmtId="0" fontId="5" fillId="0" borderId="9" xfId="0" applyFont="1" applyBorder="1" applyAlignment="1" applyProtection="1">
      <alignment horizontal="left" vertical="top" wrapText="1"/>
      <protection locked="0"/>
    </xf>
    <xf numFmtId="0" fontId="5" fillId="0" borderId="21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14" xfId="0" applyFont="1" applyBorder="1" applyAlignment="1" applyProtection="1">
      <alignment horizontal="left" vertical="top" wrapText="1"/>
      <protection locked="0"/>
    </xf>
    <xf numFmtId="0" fontId="5" fillId="0" borderId="20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19" xfId="0" applyFont="1" applyBorder="1" applyAlignment="1" applyProtection="1">
      <alignment horizontal="left" vertical="top" wrapText="1"/>
      <protection locked="0"/>
    </xf>
    <xf numFmtId="44" fontId="18" fillId="0" borderId="14" xfId="4" applyFont="1" applyFill="1" applyBorder="1" applyAlignment="1" applyProtection="1">
      <alignment horizontal="center" vertical="center"/>
    </xf>
    <xf numFmtId="44" fontId="18" fillId="0" borderId="19" xfId="4" applyFont="1" applyFill="1" applyBorder="1" applyAlignment="1" applyProtection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 applyProtection="1">
      <alignment horizontal="center" vertical="center"/>
      <protection locked="0"/>
    </xf>
    <xf numFmtId="3" fontId="5" fillId="4" borderId="3" xfId="0" applyNumberFormat="1" applyFont="1" applyFill="1" applyBorder="1" applyAlignment="1" applyProtection="1">
      <alignment horizontal="center" vertical="center"/>
      <protection locked="0"/>
    </xf>
    <xf numFmtId="3" fontId="5" fillId="4" borderId="13" xfId="0" applyNumberFormat="1" applyFont="1" applyFill="1" applyBorder="1" applyAlignment="1" applyProtection="1">
      <alignment horizontal="center" vertical="center"/>
      <protection locked="0"/>
    </xf>
    <xf numFmtId="3" fontId="5" fillId="4" borderId="2" xfId="0" applyNumberFormat="1" applyFont="1" applyFill="1" applyBorder="1" applyAlignment="1" applyProtection="1">
      <alignment horizontal="center" vertical="center"/>
      <protection locked="0"/>
    </xf>
    <xf numFmtId="167" fontId="5" fillId="5" borderId="27" xfId="0" applyNumberFormat="1" applyFont="1" applyFill="1" applyBorder="1" applyAlignment="1" applyProtection="1">
      <alignment horizontal="center" vertical="center"/>
      <protection locked="0"/>
    </xf>
    <xf numFmtId="167" fontId="5" fillId="5" borderId="33" xfId="0" applyNumberFormat="1" applyFont="1" applyFill="1" applyBorder="1" applyAlignment="1" applyProtection="1">
      <alignment horizontal="center" vertical="center"/>
      <protection locked="0"/>
    </xf>
    <xf numFmtId="3" fontId="14" fillId="4" borderId="3" xfId="0" applyNumberFormat="1" applyFont="1" applyFill="1" applyBorder="1" applyAlignment="1" applyProtection="1">
      <alignment horizontal="center" vertical="center"/>
      <protection locked="0"/>
    </xf>
    <xf numFmtId="3" fontId="14" fillId="4" borderId="13" xfId="0" applyNumberFormat="1" applyFont="1" applyFill="1" applyBorder="1" applyAlignment="1" applyProtection="1">
      <alignment horizontal="center" vertical="center"/>
      <protection locked="0"/>
    </xf>
    <xf numFmtId="3" fontId="14" fillId="4" borderId="2" xfId="0" applyNumberFormat="1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4" borderId="13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3" fontId="5" fillId="5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</cellXfs>
  <cellStyles count="5">
    <cellStyle name="Hiperlink 2" xfId="3" xr:uid="{00000000-0005-0000-0000-000000000000}"/>
    <cellStyle name="Moeda" xfId="4" builtinId="4"/>
    <cellStyle name="Normal" xfId="0" builtinId="0"/>
    <cellStyle name="Normal 2" xfId="2" xr:uid="{00000000-0005-0000-0000-000003000000}"/>
    <cellStyle name="Vírgula" xfId="1" builtinId="3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180975</xdr:colOff>
      <xdr:row>45</xdr:row>
      <xdr:rowOff>38100</xdr:rowOff>
    </xdr:from>
    <xdr:to>
      <xdr:col>25</xdr:col>
      <xdr:colOff>476250</xdr:colOff>
      <xdr:row>48</xdr:row>
      <xdr:rowOff>228600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3058775"/>
          <a:ext cx="10382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55"/>
  <sheetViews>
    <sheetView tabSelected="1" zoomScaleNormal="100" zoomScaleSheetLayoutView="100" workbookViewId="0">
      <selection activeCell="C3" sqref="C3:AB3"/>
    </sheetView>
  </sheetViews>
  <sheetFormatPr defaultRowHeight="12.75" x14ac:dyDescent="0.2"/>
  <cols>
    <col min="1" max="1" width="8.7109375" style="19" customWidth="1"/>
    <col min="2" max="2" width="7" style="19" customWidth="1"/>
    <col min="3" max="3" width="2.85546875" style="19" customWidth="1"/>
    <col min="4" max="4" width="3.5703125" style="19" customWidth="1"/>
    <col min="5" max="5" width="4.140625" style="19" customWidth="1"/>
    <col min="6" max="7" width="3.140625" style="19" customWidth="1"/>
    <col min="8" max="8" width="3" style="19" customWidth="1"/>
    <col min="9" max="9" width="0.85546875" style="19" customWidth="1"/>
    <col min="10" max="10" width="3" style="19" hidden="1" customWidth="1"/>
    <col min="11" max="11" width="2.5703125" style="19" customWidth="1"/>
    <col min="12" max="24" width="5.5703125" style="19" customWidth="1"/>
    <col min="25" max="25" width="2" style="29" hidden="1" customWidth="1"/>
    <col min="26" max="26" width="9.5703125" style="19" customWidth="1"/>
    <col min="27" max="27" width="12.7109375" style="19" customWidth="1"/>
    <col min="28" max="28" width="18.5703125" style="19" customWidth="1"/>
    <col min="29" max="30" width="9.140625" style="19"/>
    <col min="31" max="31" width="58" style="19" customWidth="1"/>
    <col min="32" max="32" width="0" style="19" hidden="1" customWidth="1"/>
    <col min="33" max="33" width="19.5703125" style="19" hidden="1" customWidth="1"/>
    <col min="34" max="16384" width="9.140625" style="19"/>
  </cols>
  <sheetData>
    <row r="1" spans="1:33" ht="26.25" customHeight="1" x14ac:dyDescent="0.2">
      <c r="A1" s="119" t="s">
        <v>152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1"/>
    </row>
    <row r="2" spans="1:33" ht="15" customHeight="1" thickBot="1" x14ac:dyDescent="0.25">
      <c r="A2" s="20" t="s">
        <v>15</v>
      </c>
      <c r="B2" s="126"/>
      <c r="C2" s="127"/>
      <c r="D2" s="127"/>
      <c r="E2" s="128"/>
      <c r="F2" s="129" t="s">
        <v>29</v>
      </c>
      <c r="G2" s="130"/>
      <c r="H2" s="130"/>
      <c r="I2" s="130"/>
      <c r="J2" s="130"/>
      <c r="K2" s="130"/>
      <c r="L2" s="130"/>
      <c r="M2" s="131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76" t="s">
        <v>30</v>
      </c>
      <c r="AB2" s="77"/>
      <c r="AE2" s="21"/>
    </row>
    <row r="3" spans="1:33" ht="15.75" thickTop="1" thickBot="1" x14ac:dyDescent="0.25">
      <c r="A3" s="98" t="s">
        <v>16</v>
      </c>
      <c r="B3" s="99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E3" s="21"/>
    </row>
    <row r="4" spans="1:33" ht="16.5" thickTop="1" thickBot="1" x14ac:dyDescent="0.25">
      <c r="A4" s="118" t="s">
        <v>17</v>
      </c>
      <c r="B4" s="118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E4" s="21"/>
      <c r="AF4" s="11">
        <v>15</v>
      </c>
      <c r="AG4" s="37"/>
    </row>
    <row r="5" spans="1:33" ht="16.5" thickTop="1" thickBot="1" x14ac:dyDescent="0.25">
      <c r="A5" s="118" t="s">
        <v>18</v>
      </c>
      <c r="B5" s="118"/>
      <c r="C5" s="100"/>
      <c r="D5" s="96"/>
      <c r="E5" s="96"/>
      <c r="F5" s="96"/>
      <c r="G5" s="96"/>
      <c r="H5" s="96"/>
      <c r="I5" s="96"/>
      <c r="J5" s="96"/>
      <c r="K5" s="96"/>
      <c r="L5" s="96"/>
      <c r="M5" s="96"/>
      <c r="N5" s="97"/>
      <c r="O5" s="98" t="s">
        <v>28</v>
      </c>
      <c r="P5" s="101"/>
      <c r="Q5" s="101"/>
      <c r="R5" s="99"/>
      <c r="S5" s="90"/>
      <c r="T5" s="102"/>
      <c r="U5" s="102"/>
      <c r="V5" s="102"/>
      <c r="W5" s="102"/>
      <c r="X5" s="102"/>
      <c r="Y5" s="102"/>
      <c r="Z5" s="91"/>
      <c r="AA5" s="30" t="s">
        <v>23</v>
      </c>
      <c r="AB5" s="22"/>
      <c r="AE5" s="21"/>
      <c r="AF5" s="11" t="s">
        <v>49</v>
      </c>
      <c r="AG5" s="37"/>
    </row>
    <row r="6" spans="1:33" ht="16.5" thickTop="1" thickBot="1" x14ac:dyDescent="0.25">
      <c r="A6" s="122" t="s">
        <v>21</v>
      </c>
      <c r="B6" s="123"/>
      <c r="C6" s="100"/>
      <c r="D6" s="96"/>
      <c r="E6" s="96"/>
      <c r="F6" s="96"/>
      <c r="G6" s="96"/>
      <c r="H6" s="98" t="s">
        <v>22</v>
      </c>
      <c r="I6" s="101"/>
      <c r="J6" s="101"/>
      <c r="K6" s="99"/>
      <c r="L6" s="90"/>
      <c r="M6" s="102"/>
      <c r="N6" s="102"/>
      <c r="O6" s="102"/>
      <c r="P6" s="91"/>
      <c r="Q6" s="103" t="s">
        <v>48</v>
      </c>
      <c r="R6" s="104"/>
      <c r="S6" s="100"/>
      <c r="T6" s="96"/>
      <c r="U6" s="96"/>
      <c r="V6" s="96"/>
      <c r="W6" s="97"/>
      <c r="X6" s="98" t="s">
        <v>191</v>
      </c>
      <c r="Y6" s="101"/>
      <c r="Z6" s="99"/>
      <c r="AA6" s="90"/>
      <c r="AB6" s="91"/>
      <c r="AE6" s="21"/>
      <c r="AF6" s="11">
        <v>80</v>
      </c>
      <c r="AG6" s="37"/>
    </row>
    <row r="7" spans="1:33" ht="16.5" thickTop="1" thickBot="1" x14ac:dyDescent="0.25">
      <c r="A7" s="118" t="s">
        <v>20</v>
      </c>
      <c r="B7" s="118"/>
      <c r="C7" s="92"/>
      <c r="D7" s="93"/>
      <c r="E7" s="93"/>
      <c r="F7" s="93"/>
      <c r="G7" s="93"/>
      <c r="H7" s="93"/>
      <c r="I7" s="93"/>
      <c r="J7" s="93"/>
      <c r="K7" s="93"/>
      <c r="L7" s="94"/>
      <c r="M7" s="30" t="s">
        <v>27</v>
      </c>
      <c r="N7" s="30"/>
      <c r="O7" s="30"/>
      <c r="P7" s="30"/>
      <c r="Q7" s="95"/>
      <c r="R7" s="96"/>
      <c r="S7" s="96"/>
      <c r="T7" s="97"/>
      <c r="U7" s="98" t="s">
        <v>19</v>
      </c>
      <c r="V7" s="99"/>
      <c r="W7" s="100"/>
      <c r="X7" s="96"/>
      <c r="Y7" s="96"/>
      <c r="Z7" s="96"/>
      <c r="AA7" s="96"/>
      <c r="AB7" s="97"/>
      <c r="AE7" s="21"/>
      <c r="AF7" s="11" t="s">
        <v>50</v>
      </c>
      <c r="AG7" s="37"/>
    </row>
    <row r="8" spans="1:33" ht="16.5" thickTop="1" thickBot="1" x14ac:dyDescent="0.25">
      <c r="A8" s="118" t="s">
        <v>6</v>
      </c>
      <c r="B8" s="118"/>
      <c r="C8" s="133"/>
      <c r="D8" s="134"/>
      <c r="E8" s="134"/>
      <c r="F8" s="134"/>
      <c r="G8" s="134"/>
      <c r="H8" s="134"/>
      <c r="I8" s="134"/>
      <c r="J8" s="134"/>
      <c r="K8" s="134"/>
      <c r="L8" s="134"/>
      <c r="M8" s="135"/>
      <c r="N8" s="98" t="s">
        <v>5</v>
      </c>
      <c r="O8" s="101"/>
      <c r="P8" s="99"/>
      <c r="Q8" s="133"/>
      <c r="R8" s="134"/>
      <c r="S8" s="134"/>
      <c r="T8" s="134"/>
      <c r="U8" s="98" t="s">
        <v>43</v>
      </c>
      <c r="V8" s="101"/>
      <c r="W8" s="101"/>
      <c r="X8" s="99"/>
      <c r="Y8" s="23"/>
      <c r="Z8" s="133"/>
      <c r="AA8" s="134"/>
      <c r="AB8" s="135"/>
      <c r="AE8" s="21"/>
      <c r="AF8" s="11">
        <v>83</v>
      </c>
      <c r="AG8" s="37"/>
    </row>
    <row r="9" spans="1:33" ht="15.75" thickTop="1" x14ac:dyDescent="0.2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4"/>
      <c r="L9" s="187" t="s">
        <v>188</v>
      </c>
      <c r="M9" s="187"/>
      <c r="N9" s="187"/>
      <c r="O9" s="187"/>
      <c r="P9" s="187"/>
      <c r="Q9" s="175" t="s">
        <v>186</v>
      </c>
      <c r="R9" s="175"/>
      <c r="S9" s="175"/>
      <c r="T9" s="175"/>
      <c r="U9" s="188" t="s">
        <v>187</v>
      </c>
      <c r="V9" s="188"/>
      <c r="W9" s="188"/>
      <c r="X9" s="188"/>
      <c r="Y9" s="42"/>
      <c r="Z9" s="179"/>
      <c r="AA9" s="179"/>
      <c r="AB9" s="180"/>
      <c r="AE9" s="21"/>
      <c r="AF9" s="12"/>
      <c r="AG9" s="37"/>
    </row>
    <row r="10" spans="1:33" ht="15" x14ac:dyDescent="0.2">
      <c r="A10" s="167" t="s">
        <v>189</v>
      </c>
      <c r="B10" s="168"/>
      <c r="C10" s="168"/>
      <c r="D10" s="168"/>
      <c r="E10" s="168"/>
      <c r="F10" s="168"/>
      <c r="G10" s="168"/>
      <c r="H10" s="168"/>
      <c r="I10" s="168"/>
      <c r="J10" s="168"/>
      <c r="K10" s="169"/>
      <c r="L10" s="43"/>
      <c r="M10" s="43">
        <v>2</v>
      </c>
      <c r="N10" s="44">
        <v>4</v>
      </c>
      <c r="O10" s="44">
        <v>6</v>
      </c>
      <c r="P10" s="44">
        <v>8</v>
      </c>
      <c r="Q10" s="176"/>
      <c r="R10" s="177"/>
      <c r="S10" s="177"/>
      <c r="T10" s="178"/>
      <c r="U10" s="54">
        <v>10</v>
      </c>
      <c r="V10" s="54">
        <v>12</v>
      </c>
      <c r="W10" s="54">
        <v>14</v>
      </c>
      <c r="X10" s="53">
        <v>16</v>
      </c>
      <c r="Y10" s="45"/>
      <c r="Z10" s="175"/>
      <c r="AA10" s="175"/>
      <c r="AB10" s="175"/>
      <c r="AE10" s="21"/>
      <c r="AF10" s="12"/>
      <c r="AG10" s="37"/>
    </row>
    <row r="11" spans="1:33" ht="15.75" customHeight="1" x14ac:dyDescent="0.2">
      <c r="A11" s="170"/>
      <c r="B11" s="171"/>
      <c r="C11" s="171"/>
      <c r="D11" s="171"/>
      <c r="E11" s="171"/>
      <c r="F11" s="171"/>
      <c r="G11" s="171"/>
      <c r="H11" s="171"/>
      <c r="I11" s="171"/>
      <c r="J11" s="171"/>
      <c r="K11" s="172"/>
      <c r="L11" s="53" t="s">
        <v>8</v>
      </c>
      <c r="M11" s="53" t="s">
        <v>0</v>
      </c>
      <c r="N11" s="53" t="s">
        <v>1</v>
      </c>
      <c r="O11" s="53" t="s">
        <v>2</v>
      </c>
      <c r="P11" s="53" t="s">
        <v>7</v>
      </c>
      <c r="Q11" s="59" t="s">
        <v>9</v>
      </c>
      <c r="R11" s="59" t="s">
        <v>183</v>
      </c>
      <c r="S11" s="59" t="s">
        <v>184</v>
      </c>
      <c r="T11" s="59" t="s">
        <v>185</v>
      </c>
      <c r="U11" s="181"/>
      <c r="V11" s="182"/>
      <c r="W11" s="182"/>
      <c r="X11" s="183"/>
      <c r="Y11" s="110"/>
      <c r="Z11" s="110"/>
      <c r="AA11" s="110"/>
      <c r="AB11" s="110"/>
      <c r="AF11" s="11" t="s">
        <v>52</v>
      </c>
      <c r="AG11" s="37"/>
    </row>
    <row r="12" spans="1:33" s="24" customFormat="1" ht="15" x14ac:dyDescent="0.2">
      <c r="A12" s="53" t="s">
        <v>3</v>
      </c>
      <c r="B12" s="114" t="s">
        <v>13</v>
      </c>
      <c r="C12" s="114"/>
      <c r="D12" s="114"/>
      <c r="E12" s="114"/>
      <c r="F12" s="114"/>
      <c r="G12" s="114"/>
      <c r="H12" s="114"/>
      <c r="I12" s="114"/>
      <c r="J12" s="114"/>
      <c r="K12" s="114"/>
      <c r="L12" s="53">
        <v>36</v>
      </c>
      <c r="M12" s="53">
        <v>38</v>
      </c>
      <c r="N12" s="53">
        <v>40</v>
      </c>
      <c r="O12" s="53">
        <v>42</v>
      </c>
      <c r="P12" s="53" t="s">
        <v>190</v>
      </c>
      <c r="Q12" s="60">
        <v>48</v>
      </c>
      <c r="R12" s="60">
        <v>50</v>
      </c>
      <c r="S12" s="60">
        <v>52</v>
      </c>
      <c r="T12" s="60">
        <v>54</v>
      </c>
      <c r="U12" s="184"/>
      <c r="V12" s="185"/>
      <c r="W12" s="185"/>
      <c r="X12" s="186"/>
      <c r="Y12" s="53"/>
      <c r="Z12" s="53" t="s">
        <v>10</v>
      </c>
      <c r="AA12" s="53" t="s">
        <v>11</v>
      </c>
      <c r="AB12" s="53" t="s">
        <v>4</v>
      </c>
      <c r="AF12" s="11">
        <v>86</v>
      </c>
      <c r="AG12" s="37"/>
    </row>
    <row r="13" spans="1:33" ht="24" customHeight="1" x14ac:dyDescent="0.2">
      <c r="A13" s="5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56"/>
      <c r="M13" s="56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8"/>
      <c r="Y13" s="57"/>
      <c r="Z13" s="58">
        <f t="shared" ref="Z13:Z44" si="0">L13+M13+N13+O13+P13+U13+V13+W13+X13+Q13+R13+S13+T13</f>
        <v>0</v>
      </c>
      <c r="AA13" s="32" t="str">
        <f>IFERROR(VLOOKUP(A13,Plan2!$A$1:$F$777,6,0),"-")</f>
        <v>-</v>
      </c>
      <c r="AB13" s="52" t="str">
        <f>IFERROR(AA13*Z13,"-")</f>
        <v>-</v>
      </c>
      <c r="AE13" s="21"/>
      <c r="AF13" s="11" t="s">
        <v>53</v>
      </c>
      <c r="AG13" s="37"/>
    </row>
    <row r="14" spans="1:33" ht="24" customHeight="1" x14ac:dyDescent="0.2">
      <c r="A14" s="46"/>
      <c r="B14" s="107"/>
      <c r="C14" s="108"/>
      <c r="D14" s="108"/>
      <c r="E14" s="108"/>
      <c r="F14" s="108"/>
      <c r="G14" s="108"/>
      <c r="H14" s="108"/>
      <c r="I14" s="108"/>
      <c r="J14" s="108"/>
      <c r="K14" s="109"/>
      <c r="L14" s="62"/>
      <c r="M14" s="56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8"/>
      <c r="Y14" s="49"/>
      <c r="Z14" s="50">
        <f t="shared" si="0"/>
        <v>0</v>
      </c>
      <c r="AA14" s="51" t="str">
        <f>IFERROR(VLOOKUP(A14,Plan2!$A$1:$F$777,6,0),"-")</f>
        <v>-</v>
      </c>
      <c r="AB14" s="52" t="str">
        <f>IFERROR(AA14*Z14,"-")</f>
        <v>-</v>
      </c>
      <c r="AF14" s="11">
        <v>87</v>
      </c>
      <c r="AG14" s="37"/>
    </row>
    <row r="15" spans="1:33" ht="24" customHeight="1" x14ac:dyDescent="0.2">
      <c r="A15" s="55"/>
      <c r="B15" s="107"/>
      <c r="C15" s="108"/>
      <c r="D15" s="108"/>
      <c r="E15" s="108"/>
      <c r="F15" s="108"/>
      <c r="G15" s="108"/>
      <c r="H15" s="108"/>
      <c r="I15" s="108"/>
      <c r="J15" s="108"/>
      <c r="K15" s="109"/>
      <c r="L15" s="61"/>
      <c r="M15" s="61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1"/>
      <c r="Y15" s="31"/>
      <c r="Z15" s="36">
        <f t="shared" si="0"/>
        <v>0</v>
      </c>
      <c r="AA15" s="32" t="str">
        <f>IFERROR(VLOOKUP(A15,Plan2!$A$1:$F$777,6,0),"-")</f>
        <v>-</v>
      </c>
      <c r="AB15" s="33" t="str">
        <f t="shared" ref="AB15:AB44" si="1">IFERROR(AA15*Z15,"-")</f>
        <v>-</v>
      </c>
      <c r="AF15" s="12" t="s">
        <v>54</v>
      </c>
      <c r="AG15" s="37"/>
    </row>
    <row r="16" spans="1:33" ht="24" customHeight="1" x14ac:dyDescent="0.2">
      <c r="A16" s="25"/>
      <c r="B16" s="111"/>
      <c r="C16" s="112"/>
      <c r="D16" s="112"/>
      <c r="E16" s="112"/>
      <c r="F16" s="112"/>
      <c r="G16" s="112"/>
      <c r="H16" s="112"/>
      <c r="I16" s="112"/>
      <c r="J16" s="112"/>
      <c r="K16" s="112"/>
      <c r="L16" s="56"/>
      <c r="M16" s="56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1"/>
      <c r="Y16" s="31"/>
      <c r="Z16" s="36">
        <f t="shared" si="0"/>
        <v>0</v>
      </c>
      <c r="AA16" s="32" t="str">
        <f>IFERROR(VLOOKUP(A16,Plan2!$A$1:$F$777,6,0),"-")</f>
        <v>-</v>
      </c>
      <c r="AB16" s="33" t="str">
        <f t="shared" si="1"/>
        <v>-</v>
      </c>
      <c r="AF16" s="11">
        <v>88</v>
      </c>
      <c r="AG16" s="37"/>
    </row>
    <row r="17" spans="1:33" ht="24" customHeight="1" x14ac:dyDescent="0.2">
      <c r="A17" s="25"/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56"/>
      <c r="M17" s="56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1"/>
      <c r="Y17" s="31"/>
      <c r="Z17" s="36">
        <f t="shared" si="0"/>
        <v>0</v>
      </c>
      <c r="AA17" s="32" t="str">
        <f>IFERROR(VLOOKUP(A17,Plan2!$A$1:$F$777,6,0),"-")</f>
        <v>-</v>
      </c>
      <c r="AB17" s="33" t="str">
        <f t="shared" si="1"/>
        <v>-</v>
      </c>
      <c r="AF17" s="11" t="s">
        <v>55</v>
      </c>
      <c r="AG17" s="37"/>
    </row>
    <row r="18" spans="1:33" ht="24" customHeight="1" x14ac:dyDescent="0.2">
      <c r="A18" s="25"/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56"/>
      <c r="M18" s="56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1"/>
      <c r="Y18" s="31"/>
      <c r="Z18" s="36">
        <f t="shared" si="0"/>
        <v>0</v>
      </c>
      <c r="AA18" s="32" t="str">
        <f>IFERROR(VLOOKUP(A18,Plan2!$A$1:$F$777,6,0),"-")</f>
        <v>-</v>
      </c>
      <c r="AB18" s="33" t="str">
        <f t="shared" si="1"/>
        <v>-</v>
      </c>
      <c r="AF18" s="11">
        <v>90</v>
      </c>
      <c r="AG18" s="37"/>
    </row>
    <row r="19" spans="1:33" ht="24" customHeight="1" x14ac:dyDescent="0.2">
      <c r="A19" s="55"/>
      <c r="B19" s="111"/>
      <c r="C19" s="112"/>
      <c r="D19" s="112"/>
      <c r="E19" s="112"/>
      <c r="F19" s="112"/>
      <c r="G19" s="112"/>
      <c r="H19" s="112"/>
      <c r="I19" s="112"/>
      <c r="J19" s="112"/>
      <c r="K19" s="113"/>
      <c r="L19" s="61"/>
      <c r="M19" s="61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1"/>
      <c r="Y19" s="31"/>
      <c r="Z19" s="36">
        <f t="shared" si="0"/>
        <v>0</v>
      </c>
      <c r="AA19" s="32" t="str">
        <f>IFERROR(VLOOKUP(A19,Plan2!$A$1:$F$777,6,0),"-")</f>
        <v>-</v>
      </c>
      <c r="AB19" s="33" t="str">
        <f t="shared" si="1"/>
        <v>-</v>
      </c>
      <c r="AF19" s="11" t="s">
        <v>56</v>
      </c>
      <c r="AG19" s="37"/>
    </row>
    <row r="20" spans="1:33" ht="24" customHeight="1" x14ac:dyDescent="0.2">
      <c r="A20" s="55"/>
      <c r="B20" s="111"/>
      <c r="C20" s="112"/>
      <c r="D20" s="112"/>
      <c r="E20" s="112"/>
      <c r="F20" s="112"/>
      <c r="G20" s="112"/>
      <c r="H20" s="112"/>
      <c r="I20" s="112"/>
      <c r="J20" s="112"/>
      <c r="K20" s="113"/>
      <c r="L20" s="63"/>
      <c r="M20" s="56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1"/>
      <c r="Y20" s="31"/>
      <c r="Z20" s="36">
        <f t="shared" si="0"/>
        <v>0</v>
      </c>
      <c r="AA20" s="32" t="str">
        <f>IFERROR(VLOOKUP(A20,Plan2!$A$1:$F$777,6,0),"-")</f>
        <v>-</v>
      </c>
      <c r="AB20" s="33" t="str">
        <f t="shared" si="1"/>
        <v>-</v>
      </c>
      <c r="AF20" s="11">
        <v>91</v>
      </c>
      <c r="AG20" s="37"/>
    </row>
    <row r="21" spans="1:33" ht="24" customHeight="1" x14ac:dyDescent="0.2">
      <c r="A21" s="55"/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56"/>
      <c r="M21" s="61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1"/>
      <c r="Y21" s="31"/>
      <c r="Z21" s="36">
        <f t="shared" si="0"/>
        <v>0</v>
      </c>
      <c r="AA21" s="32" t="str">
        <f>IFERROR(VLOOKUP(A21,Plan2!$A$1:$F$777,6,0),"-")</f>
        <v>-</v>
      </c>
      <c r="AB21" s="33" t="str">
        <f t="shared" si="1"/>
        <v>-</v>
      </c>
      <c r="AF21" s="11" t="s">
        <v>57</v>
      </c>
      <c r="AG21" s="37"/>
    </row>
    <row r="22" spans="1:33" ht="24" customHeight="1" x14ac:dyDescent="0.2">
      <c r="A22" s="25"/>
      <c r="B22" s="107"/>
      <c r="C22" s="108"/>
      <c r="D22" s="108"/>
      <c r="E22" s="108"/>
      <c r="F22" s="108"/>
      <c r="G22" s="108"/>
      <c r="H22" s="108"/>
      <c r="I22" s="108"/>
      <c r="J22" s="108"/>
      <c r="K22" s="109"/>
      <c r="L22" s="56"/>
      <c r="M22" s="61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1"/>
      <c r="Y22" s="31"/>
      <c r="Z22" s="36">
        <f t="shared" si="0"/>
        <v>0</v>
      </c>
      <c r="AA22" s="32" t="str">
        <f>IFERROR(VLOOKUP(A22,Plan2!$A$1:$F$777,6,0),"-")</f>
        <v>-</v>
      </c>
      <c r="AB22" s="33" t="str">
        <f t="shared" si="1"/>
        <v>-</v>
      </c>
      <c r="AF22" s="11">
        <v>92</v>
      </c>
      <c r="AG22" s="37"/>
    </row>
    <row r="23" spans="1:33" ht="24" customHeight="1" x14ac:dyDescent="0.2">
      <c r="A23" s="55"/>
      <c r="B23" s="111"/>
      <c r="C23" s="112"/>
      <c r="D23" s="112"/>
      <c r="E23" s="112"/>
      <c r="F23" s="112"/>
      <c r="G23" s="112"/>
      <c r="H23" s="112"/>
      <c r="I23" s="112"/>
      <c r="J23" s="112"/>
      <c r="K23" s="113"/>
      <c r="L23" s="63"/>
      <c r="M23" s="56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1"/>
      <c r="Y23" s="31"/>
      <c r="Z23" s="36">
        <f t="shared" si="0"/>
        <v>0</v>
      </c>
      <c r="AA23" s="32" t="str">
        <f>IFERROR(VLOOKUP(A23,Plan2!$A$1:$F$777,6,0),"-")</f>
        <v>-</v>
      </c>
      <c r="AB23" s="33" t="str">
        <f t="shared" si="1"/>
        <v>-</v>
      </c>
      <c r="AF23" s="11" t="s">
        <v>58</v>
      </c>
      <c r="AG23" s="37"/>
    </row>
    <row r="24" spans="1:33" ht="24" customHeight="1" x14ac:dyDescent="0.2">
      <c r="A24" s="55"/>
      <c r="B24" s="111"/>
      <c r="C24" s="112"/>
      <c r="D24" s="112"/>
      <c r="E24" s="112"/>
      <c r="F24" s="112"/>
      <c r="G24" s="112"/>
      <c r="H24" s="112"/>
      <c r="I24" s="112"/>
      <c r="J24" s="112"/>
      <c r="K24" s="113"/>
      <c r="L24" s="56"/>
      <c r="M24" s="56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1"/>
      <c r="Y24" s="31"/>
      <c r="Z24" s="36">
        <f t="shared" si="0"/>
        <v>0</v>
      </c>
      <c r="AA24" s="32" t="str">
        <f>IFERROR(VLOOKUP(A24,Plan2!$A$1:$F$777,6,0),"-")</f>
        <v>-</v>
      </c>
      <c r="AB24" s="33" t="str">
        <f t="shared" si="1"/>
        <v>-</v>
      </c>
      <c r="AF24" s="11">
        <v>93</v>
      </c>
      <c r="AG24" s="37"/>
    </row>
    <row r="25" spans="1:33" ht="24" customHeight="1" x14ac:dyDescent="0.2">
      <c r="A25" s="25"/>
      <c r="B25" s="136"/>
      <c r="C25" s="137"/>
      <c r="D25" s="137"/>
      <c r="E25" s="137"/>
      <c r="F25" s="137"/>
      <c r="G25" s="137"/>
      <c r="H25" s="137"/>
      <c r="I25" s="137"/>
      <c r="J25" s="137"/>
      <c r="K25" s="138"/>
      <c r="L25" s="56"/>
      <c r="M25" s="61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1"/>
      <c r="Y25" s="31"/>
      <c r="Z25" s="36">
        <f t="shared" si="0"/>
        <v>0</v>
      </c>
      <c r="AA25" s="32" t="str">
        <f>IFERROR(VLOOKUP(A25,Plan2!$A$1:$F$777,6,0),"-")</f>
        <v>-</v>
      </c>
      <c r="AB25" s="33" t="str">
        <f t="shared" si="1"/>
        <v>-</v>
      </c>
      <c r="AF25" s="12" t="s">
        <v>59</v>
      </c>
      <c r="AG25" s="37"/>
    </row>
    <row r="26" spans="1:33" ht="24" customHeight="1" x14ac:dyDescent="0.2">
      <c r="A26" s="25"/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56"/>
      <c r="M26" s="61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1"/>
      <c r="Y26" s="31"/>
      <c r="Z26" s="36">
        <f t="shared" si="0"/>
        <v>0</v>
      </c>
      <c r="AA26" s="32" t="str">
        <f>IFERROR(VLOOKUP(A26,Plan2!$A$1:$F$777,6,0),"-")</f>
        <v>-</v>
      </c>
      <c r="AB26" s="33" t="str">
        <f t="shared" si="1"/>
        <v>-</v>
      </c>
      <c r="AF26" s="11">
        <v>94</v>
      </c>
      <c r="AG26" s="37"/>
    </row>
    <row r="27" spans="1:33" ht="24" customHeight="1" x14ac:dyDescent="0.2">
      <c r="A27" s="25"/>
      <c r="B27" s="111"/>
      <c r="C27" s="112"/>
      <c r="D27" s="112"/>
      <c r="E27" s="112"/>
      <c r="F27" s="112"/>
      <c r="G27" s="112"/>
      <c r="H27" s="112"/>
      <c r="I27" s="112"/>
      <c r="J27" s="112"/>
      <c r="K27" s="113"/>
      <c r="L27" s="56"/>
      <c r="M27" s="61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1"/>
      <c r="Y27" s="31"/>
      <c r="Z27" s="36">
        <f t="shared" si="0"/>
        <v>0</v>
      </c>
      <c r="AA27" s="32" t="str">
        <f>IFERROR(VLOOKUP(A27,Plan2!$A$1:$F$777,6,0),"-")</f>
        <v>-</v>
      </c>
      <c r="AB27" s="33" t="str">
        <f t="shared" si="1"/>
        <v>-</v>
      </c>
      <c r="AF27" s="11" t="s">
        <v>60</v>
      </c>
      <c r="AG27" s="37"/>
    </row>
    <row r="28" spans="1:33" ht="24" customHeight="1" x14ac:dyDescent="0.2">
      <c r="A28" s="55"/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56"/>
      <c r="M28" s="61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1"/>
      <c r="Y28" s="31"/>
      <c r="Z28" s="36">
        <f t="shared" si="0"/>
        <v>0</v>
      </c>
      <c r="AA28" s="32" t="str">
        <f>IFERROR(VLOOKUP(A28,Plan2!$A$1:$F$777,6,0),"-")</f>
        <v>-</v>
      </c>
      <c r="AB28" s="33" t="str">
        <f t="shared" si="1"/>
        <v>-</v>
      </c>
      <c r="AF28" s="11">
        <v>95</v>
      </c>
      <c r="AG28" s="37"/>
    </row>
    <row r="29" spans="1:33" ht="24" customHeight="1" x14ac:dyDescent="0.2">
      <c r="A29" s="55"/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56"/>
      <c r="M29" s="61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1"/>
      <c r="Y29" s="31"/>
      <c r="Z29" s="36">
        <f t="shared" si="0"/>
        <v>0</v>
      </c>
      <c r="AA29" s="32" t="str">
        <f>IFERROR(VLOOKUP(A29,Plan2!$A$1:$F$777,6,0),"-")</f>
        <v>-</v>
      </c>
      <c r="AB29" s="33" t="str">
        <f t="shared" si="1"/>
        <v>-</v>
      </c>
      <c r="AF29" s="11" t="s">
        <v>61</v>
      </c>
      <c r="AG29" s="37"/>
    </row>
    <row r="30" spans="1:33" ht="24" customHeight="1" x14ac:dyDescent="0.2">
      <c r="A30" s="55"/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56"/>
      <c r="M30" s="56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1"/>
      <c r="Y30" s="31"/>
      <c r="Z30" s="36">
        <f t="shared" si="0"/>
        <v>0</v>
      </c>
      <c r="AA30" s="32" t="str">
        <f>IFERROR(VLOOKUP(A30,Plan2!$A$1:$F$777,6,0),"-")</f>
        <v>-</v>
      </c>
      <c r="AB30" s="33" t="str">
        <f t="shared" si="1"/>
        <v>-</v>
      </c>
      <c r="AF30" s="11">
        <v>96</v>
      </c>
      <c r="AG30" s="37"/>
    </row>
    <row r="31" spans="1:33" ht="24" customHeight="1" x14ac:dyDescent="0.2">
      <c r="A31" s="25"/>
      <c r="B31" s="111"/>
      <c r="C31" s="112"/>
      <c r="D31" s="112"/>
      <c r="E31" s="112"/>
      <c r="F31" s="112"/>
      <c r="G31" s="112"/>
      <c r="H31" s="112"/>
      <c r="I31" s="112"/>
      <c r="J31" s="112"/>
      <c r="K31" s="112"/>
      <c r="L31" s="56"/>
      <c r="M31" s="61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1"/>
      <c r="Y31" s="31"/>
      <c r="Z31" s="36">
        <f t="shared" si="0"/>
        <v>0</v>
      </c>
      <c r="AA31" s="32" t="str">
        <f>IFERROR(VLOOKUP(A31,Plan2!$A$1:$F$777,6,0),"-")</f>
        <v>-</v>
      </c>
      <c r="AB31" s="33" t="str">
        <f t="shared" si="1"/>
        <v>-</v>
      </c>
      <c r="AF31" s="12" t="s">
        <v>62</v>
      </c>
      <c r="AG31" s="37"/>
    </row>
    <row r="32" spans="1:33" ht="24" customHeight="1" x14ac:dyDescent="0.2">
      <c r="A32" s="25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56"/>
      <c r="M32" s="56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1"/>
      <c r="Y32" s="31"/>
      <c r="Z32" s="36">
        <f t="shared" si="0"/>
        <v>0</v>
      </c>
      <c r="AA32" s="32" t="str">
        <f>IFERROR(VLOOKUP(A32,Plan2!$A$1:$F$777,6,0),"-")</f>
        <v>-</v>
      </c>
      <c r="AB32" s="33" t="str">
        <f t="shared" si="1"/>
        <v>-</v>
      </c>
      <c r="AF32" s="12">
        <v>102</v>
      </c>
      <c r="AG32" s="37"/>
    </row>
    <row r="33" spans="1:33" ht="24" customHeight="1" x14ac:dyDescent="0.2">
      <c r="A33" s="25"/>
      <c r="B33" s="107"/>
      <c r="C33" s="108"/>
      <c r="D33" s="108"/>
      <c r="E33" s="108"/>
      <c r="F33" s="108"/>
      <c r="G33" s="108"/>
      <c r="H33" s="108"/>
      <c r="I33" s="108"/>
      <c r="J33" s="108"/>
      <c r="K33" s="108"/>
      <c r="L33" s="56"/>
      <c r="M33" s="61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  <c r="Y33" s="31"/>
      <c r="Z33" s="36">
        <f t="shared" si="0"/>
        <v>0</v>
      </c>
      <c r="AA33" s="32" t="str">
        <f>IFERROR(VLOOKUP(A33,Plan2!$A$1:$F$777,6,0),"-")</f>
        <v>-</v>
      </c>
      <c r="AB33" s="33" t="str">
        <f t="shared" si="1"/>
        <v>-</v>
      </c>
      <c r="AF33" s="12">
        <v>103</v>
      </c>
      <c r="AG33" s="37"/>
    </row>
    <row r="34" spans="1:33" ht="24" customHeight="1" x14ac:dyDescent="0.2">
      <c r="A34" s="55"/>
      <c r="B34" s="107"/>
      <c r="C34" s="108"/>
      <c r="D34" s="108"/>
      <c r="E34" s="108"/>
      <c r="F34" s="108"/>
      <c r="G34" s="108"/>
      <c r="H34" s="108"/>
      <c r="I34" s="108"/>
      <c r="J34" s="108"/>
      <c r="K34" s="108"/>
      <c r="L34" s="56"/>
      <c r="M34" s="56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1"/>
      <c r="Y34" s="31"/>
      <c r="Z34" s="36">
        <f t="shared" si="0"/>
        <v>0</v>
      </c>
      <c r="AA34" s="32" t="str">
        <f>IFERROR(VLOOKUP(A34,Plan2!$A$1:$F$777,6,0),"-")</f>
        <v>-</v>
      </c>
      <c r="AB34" s="33" t="str">
        <f t="shared" si="1"/>
        <v>-</v>
      </c>
      <c r="AF34" s="12">
        <v>104</v>
      </c>
      <c r="AG34" s="37"/>
    </row>
    <row r="35" spans="1:33" ht="24" customHeight="1" x14ac:dyDescent="0.2">
      <c r="A35" s="25"/>
      <c r="B35" s="107"/>
      <c r="C35" s="108"/>
      <c r="D35" s="108"/>
      <c r="E35" s="108"/>
      <c r="F35" s="108"/>
      <c r="G35" s="108"/>
      <c r="H35" s="108"/>
      <c r="I35" s="108"/>
      <c r="J35" s="108"/>
      <c r="K35" s="108"/>
      <c r="L35" s="56"/>
      <c r="M35" s="61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31"/>
      <c r="Z35" s="36">
        <f t="shared" si="0"/>
        <v>0</v>
      </c>
      <c r="AA35" s="32" t="str">
        <f>IFERROR(VLOOKUP(A35,Plan2!$A$1:$F$777,6,0),"-")</f>
        <v>-</v>
      </c>
      <c r="AB35" s="33" t="str">
        <f t="shared" si="1"/>
        <v>-</v>
      </c>
      <c r="AF35" s="12">
        <v>106</v>
      </c>
      <c r="AG35" s="37"/>
    </row>
    <row r="36" spans="1:33" ht="24" customHeight="1" x14ac:dyDescent="0.2">
      <c r="A36" s="25"/>
      <c r="B36" s="107"/>
      <c r="C36" s="108"/>
      <c r="D36" s="108"/>
      <c r="E36" s="108"/>
      <c r="F36" s="108"/>
      <c r="G36" s="108"/>
      <c r="H36" s="108"/>
      <c r="I36" s="108"/>
      <c r="J36" s="108"/>
      <c r="K36" s="108"/>
      <c r="L36" s="56"/>
      <c r="M36" s="61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1"/>
      <c r="Y36" s="31"/>
      <c r="Z36" s="36">
        <f t="shared" si="0"/>
        <v>0</v>
      </c>
      <c r="AA36" s="32" t="str">
        <f>IFERROR(VLOOKUP(A36,Plan2!$A$1:$F$777,6,0),"-")</f>
        <v>-</v>
      </c>
      <c r="AB36" s="33" t="str">
        <f t="shared" si="1"/>
        <v>-</v>
      </c>
      <c r="AF36" s="12" t="s">
        <v>63</v>
      </c>
      <c r="AG36" s="37"/>
    </row>
    <row r="37" spans="1:33" ht="24" customHeight="1" x14ac:dyDescent="0.2">
      <c r="A37" s="25"/>
      <c r="B37" s="107"/>
      <c r="C37" s="108"/>
      <c r="D37" s="108"/>
      <c r="E37" s="108"/>
      <c r="F37" s="108"/>
      <c r="G37" s="108"/>
      <c r="H37" s="108"/>
      <c r="I37" s="108"/>
      <c r="J37" s="108"/>
      <c r="K37" s="108"/>
      <c r="L37" s="56"/>
      <c r="M37" s="56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1"/>
      <c r="Y37" s="34"/>
      <c r="Z37" s="36">
        <f t="shared" si="0"/>
        <v>0</v>
      </c>
      <c r="AA37" s="32" t="str">
        <f>IFERROR(VLOOKUP(A37,Plan2!$A$1:$F$777,6,0),"-")</f>
        <v>-</v>
      </c>
      <c r="AB37" s="33" t="str">
        <f t="shared" si="1"/>
        <v>-</v>
      </c>
      <c r="AF37" s="13">
        <v>108</v>
      </c>
      <c r="AG37" s="37" t="s">
        <v>156</v>
      </c>
    </row>
    <row r="38" spans="1:33" ht="24" customHeight="1" x14ac:dyDescent="0.2">
      <c r="A38" s="25"/>
      <c r="B38" s="111"/>
      <c r="C38" s="112"/>
      <c r="D38" s="112"/>
      <c r="E38" s="112"/>
      <c r="F38" s="112"/>
      <c r="G38" s="112"/>
      <c r="H38" s="112"/>
      <c r="I38" s="112"/>
      <c r="J38" s="112"/>
      <c r="K38" s="112"/>
      <c r="L38" s="56"/>
      <c r="M38" s="56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1"/>
      <c r="Y38" s="34"/>
      <c r="Z38" s="36">
        <f t="shared" si="0"/>
        <v>0</v>
      </c>
      <c r="AA38" s="32" t="str">
        <f>IFERROR(VLOOKUP(A38,Plan2!$A$1:$F$777,6,0),"-")</f>
        <v>-</v>
      </c>
      <c r="AB38" s="33" t="str">
        <f t="shared" si="1"/>
        <v>-</v>
      </c>
      <c r="AF38" s="12">
        <v>109</v>
      </c>
      <c r="AG38" s="37"/>
    </row>
    <row r="39" spans="1:33" ht="24" customHeight="1" x14ac:dyDescent="0.2">
      <c r="A39" s="25"/>
      <c r="B39" s="116"/>
      <c r="C39" s="117"/>
      <c r="D39" s="117"/>
      <c r="E39" s="117"/>
      <c r="F39" s="117"/>
      <c r="G39" s="117"/>
      <c r="H39" s="117"/>
      <c r="I39" s="117"/>
      <c r="J39" s="117"/>
      <c r="K39" s="117"/>
      <c r="L39" s="56"/>
      <c r="M39" s="61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1"/>
      <c r="Y39" s="34"/>
      <c r="Z39" s="36">
        <f t="shared" si="0"/>
        <v>0</v>
      </c>
      <c r="AA39" s="32" t="str">
        <f>IFERROR(VLOOKUP(A39,Plan2!$A$1:$F$777,6,0),"-")</f>
        <v>-</v>
      </c>
      <c r="AB39" s="33" t="str">
        <f t="shared" si="1"/>
        <v>-</v>
      </c>
      <c r="AF39" s="13" t="s">
        <v>64</v>
      </c>
      <c r="AG39" s="37"/>
    </row>
    <row r="40" spans="1:33" ht="24" customHeight="1" x14ac:dyDescent="0.2">
      <c r="A40" s="25"/>
      <c r="B40" s="111"/>
      <c r="C40" s="112"/>
      <c r="D40" s="112"/>
      <c r="E40" s="112"/>
      <c r="F40" s="112"/>
      <c r="G40" s="112"/>
      <c r="H40" s="112"/>
      <c r="I40" s="112"/>
      <c r="J40" s="112"/>
      <c r="K40" s="113"/>
      <c r="L40" s="63"/>
      <c r="M40" s="56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1"/>
      <c r="Y40" s="34"/>
      <c r="Z40" s="36">
        <f t="shared" si="0"/>
        <v>0</v>
      </c>
      <c r="AA40" s="32" t="str">
        <f>IFERROR(VLOOKUP(A40,Plan2!$A$1:$F$777,6,0),"-")</f>
        <v>-</v>
      </c>
      <c r="AB40" s="33" t="str">
        <f t="shared" si="1"/>
        <v>-</v>
      </c>
      <c r="AF40" s="12">
        <v>110</v>
      </c>
      <c r="AG40" s="37"/>
    </row>
    <row r="41" spans="1:33" ht="24" customHeight="1" x14ac:dyDescent="0.2">
      <c r="A41" s="25"/>
      <c r="B41" s="107"/>
      <c r="C41" s="108"/>
      <c r="D41" s="108"/>
      <c r="E41" s="108"/>
      <c r="F41" s="108"/>
      <c r="G41" s="108"/>
      <c r="H41" s="108"/>
      <c r="I41" s="108"/>
      <c r="J41" s="108"/>
      <c r="K41" s="108"/>
      <c r="L41" s="56"/>
      <c r="M41" s="56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1"/>
      <c r="Y41" s="34"/>
      <c r="Z41" s="36">
        <f t="shared" si="0"/>
        <v>0</v>
      </c>
      <c r="AA41" s="32" t="str">
        <f>IFERROR(VLOOKUP(A41,Plan2!$A$1:$F$777,6,0),"-")</f>
        <v>-</v>
      </c>
      <c r="AB41" s="33" t="str">
        <f t="shared" si="1"/>
        <v>-</v>
      </c>
      <c r="AF41" s="12" t="s">
        <v>65</v>
      </c>
      <c r="AG41" s="37"/>
    </row>
    <row r="42" spans="1:33" ht="24" customHeight="1" x14ac:dyDescent="0.2">
      <c r="A42" s="25"/>
      <c r="B42" s="111"/>
      <c r="C42" s="112"/>
      <c r="D42" s="112"/>
      <c r="E42" s="112"/>
      <c r="F42" s="112"/>
      <c r="G42" s="112"/>
      <c r="H42" s="112"/>
      <c r="I42" s="112"/>
      <c r="J42" s="112"/>
      <c r="K42" s="112"/>
      <c r="L42" s="56"/>
      <c r="M42" s="56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1"/>
      <c r="Y42" s="34"/>
      <c r="Z42" s="36">
        <f t="shared" si="0"/>
        <v>0</v>
      </c>
      <c r="AA42" s="32" t="str">
        <f>IFERROR(VLOOKUP(A42,Plan2!$A$1:$F$777,6,0),"-")</f>
        <v>-</v>
      </c>
      <c r="AB42" s="33" t="str">
        <f t="shared" si="1"/>
        <v>-</v>
      </c>
      <c r="AF42" s="12">
        <v>111</v>
      </c>
      <c r="AG42" s="37"/>
    </row>
    <row r="43" spans="1:33" ht="24" customHeight="1" x14ac:dyDescent="0.2">
      <c r="A43" s="25"/>
      <c r="B43" s="107"/>
      <c r="C43" s="108"/>
      <c r="D43" s="108"/>
      <c r="E43" s="108"/>
      <c r="F43" s="108"/>
      <c r="G43" s="108"/>
      <c r="H43" s="108"/>
      <c r="I43" s="108"/>
      <c r="J43" s="108"/>
      <c r="K43" s="109"/>
      <c r="L43" s="63"/>
      <c r="M43" s="56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1"/>
      <c r="Y43" s="34"/>
      <c r="Z43" s="36">
        <f t="shared" si="0"/>
        <v>0</v>
      </c>
      <c r="AA43" s="32" t="str">
        <f>IFERROR(VLOOKUP(A43,Plan2!$A$1:$F$777,6,0),"-")</f>
        <v>-</v>
      </c>
      <c r="AB43" s="33" t="str">
        <f t="shared" si="1"/>
        <v>-</v>
      </c>
      <c r="AF43" s="12" t="s">
        <v>66</v>
      </c>
      <c r="AG43" s="37"/>
    </row>
    <row r="44" spans="1:33" ht="24" customHeight="1" thickBot="1" x14ac:dyDescent="0.25">
      <c r="A44" s="25"/>
      <c r="B44" s="105"/>
      <c r="C44" s="106"/>
      <c r="D44" s="106"/>
      <c r="E44" s="106"/>
      <c r="F44" s="106"/>
      <c r="G44" s="106"/>
      <c r="H44" s="106"/>
      <c r="I44" s="106"/>
      <c r="J44" s="106"/>
      <c r="K44" s="106"/>
      <c r="L44" s="64"/>
      <c r="M44" s="61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1"/>
      <c r="Y44" s="34"/>
      <c r="Z44" s="67">
        <f t="shared" si="0"/>
        <v>0</v>
      </c>
      <c r="AA44" s="68" t="str">
        <f>IFERROR(VLOOKUP(A44,Plan2!$A$1:$F$777,6,0),"-")</f>
        <v>-</v>
      </c>
      <c r="AB44" s="70" t="str">
        <f t="shared" si="1"/>
        <v>-</v>
      </c>
      <c r="AF44" s="12">
        <v>112</v>
      </c>
      <c r="AG44" s="37"/>
    </row>
    <row r="45" spans="1:33" ht="15.75" thickBot="1" x14ac:dyDescent="0.25">
      <c r="A45" s="144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6"/>
      <c r="W45" s="157" t="s">
        <v>12</v>
      </c>
      <c r="X45" s="158"/>
      <c r="Y45" s="35"/>
      <c r="Z45" s="65">
        <f>SUM(Z13:Z44)</f>
        <v>0</v>
      </c>
      <c r="AA45" s="69" t="s">
        <v>153</v>
      </c>
      <c r="AB45" s="71">
        <f>SUM(AB13:AB44)</f>
        <v>0</v>
      </c>
      <c r="AC45" s="26"/>
      <c r="AF45" s="12">
        <v>125</v>
      </c>
      <c r="AG45" s="37"/>
    </row>
    <row r="46" spans="1:33" ht="21" customHeight="1" thickBot="1" x14ac:dyDescent="0.25">
      <c r="A46" s="147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9"/>
      <c r="W46" s="159"/>
      <c r="X46" s="160"/>
      <c r="Y46" s="160"/>
      <c r="Z46" s="160"/>
      <c r="AA46" s="73" t="s">
        <v>154</v>
      </c>
      <c r="AB46" s="75"/>
      <c r="AC46" s="66"/>
      <c r="AF46" s="12" t="s">
        <v>70</v>
      </c>
      <c r="AG46" s="37"/>
    </row>
    <row r="47" spans="1:33" ht="18.75" customHeight="1" thickBot="1" x14ac:dyDescent="0.25">
      <c r="A47" s="147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9"/>
      <c r="W47" s="161"/>
      <c r="X47" s="162"/>
      <c r="Y47" s="162"/>
      <c r="Z47" s="162"/>
      <c r="AA47" s="72" t="s">
        <v>155</v>
      </c>
      <c r="AB47" s="74">
        <f>AB45*AB46</f>
        <v>0</v>
      </c>
      <c r="AC47" s="66"/>
      <c r="AF47" s="12">
        <v>126</v>
      </c>
      <c r="AG47" s="37"/>
    </row>
    <row r="48" spans="1:33" ht="15" x14ac:dyDescent="0.2">
      <c r="A48" s="147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9"/>
      <c r="W48" s="161"/>
      <c r="X48" s="162"/>
      <c r="Y48" s="162"/>
      <c r="Z48" s="163"/>
      <c r="AA48" s="155" t="s">
        <v>4</v>
      </c>
      <c r="AB48" s="153">
        <f>AB45-AB47</f>
        <v>0</v>
      </c>
      <c r="AC48" s="26"/>
      <c r="AF48" s="12" t="s">
        <v>71</v>
      </c>
      <c r="AG48" s="37"/>
    </row>
    <row r="49" spans="1:33" ht="23.25" customHeight="1" thickBot="1" x14ac:dyDescent="0.25">
      <c r="A49" s="150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2"/>
      <c r="W49" s="164"/>
      <c r="X49" s="165"/>
      <c r="Y49" s="165"/>
      <c r="Z49" s="166"/>
      <c r="AA49" s="156"/>
      <c r="AB49" s="154"/>
      <c r="AC49" s="26"/>
      <c r="AF49" s="11">
        <v>128</v>
      </c>
      <c r="AG49" s="37"/>
    </row>
    <row r="50" spans="1:33" ht="15.75" thickBot="1" x14ac:dyDescent="0.25">
      <c r="A50" s="139" t="s">
        <v>14</v>
      </c>
      <c r="B50" s="140"/>
      <c r="C50" s="140"/>
      <c r="D50" s="141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3"/>
      <c r="AE50" s="27"/>
      <c r="AF50" s="12" t="s">
        <v>72</v>
      </c>
      <c r="AG50" s="37"/>
    </row>
    <row r="51" spans="1:33" ht="15" x14ac:dyDescent="0.2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AF51" s="11">
        <v>129</v>
      </c>
      <c r="AG51" s="37"/>
    </row>
    <row r="52" spans="1:33" ht="15" x14ac:dyDescent="0.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AF52" s="11" t="s">
        <v>73</v>
      </c>
      <c r="AG52" s="37"/>
    </row>
    <row r="53" spans="1:33" ht="15" x14ac:dyDescent="0.2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AF53" s="11">
        <v>130</v>
      </c>
      <c r="AG53" s="37"/>
    </row>
    <row r="54" spans="1:33" ht="15" x14ac:dyDescent="0.2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AF54" s="13" t="s">
        <v>74</v>
      </c>
      <c r="AG54" s="37"/>
    </row>
    <row r="55" spans="1:33" ht="15" x14ac:dyDescent="0.2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AF55" s="11">
        <v>131</v>
      </c>
      <c r="AG55" s="37"/>
    </row>
    <row r="56" spans="1:33" ht="15" x14ac:dyDescent="0.2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AF56" s="13" t="s">
        <v>75</v>
      </c>
      <c r="AG56" s="37"/>
    </row>
    <row r="57" spans="1:33" ht="15" x14ac:dyDescent="0.2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AF57" s="12">
        <v>135</v>
      </c>
      <c r="AG57" s="37"/>
    </row>
    <row r="58" spans="1:33" ht="15" x14ac:dyDescent="0.2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AF58" s="12" t="s">
        <v>76</v>
      </c>
      <c r="AG58" s="37"/>
    </row>
    <row r="59" spans="1:33" ht="15" x14ac:dyDescent="0.2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AF59" s="12">
        <v>139</v>
      </c>
      <c r="AG59" s="37"/>
    </row>
    <row r="60" spans="1:33" ht="15" x14ac:dyDescent="0.2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AF60" s="11">
        <v>140</v>
      </c>
      <c r="AG60" s="37"/>
    </row>
    <row r="61" spans="1:33" ht="15" x14ac:dyDescent="0.2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AF61" s="11" t="s">
        <v>77</v>
      </c>
      <c r="AG61" s="37"/>
    </row>
    <row r="62" spans="1:33" ht="15" x14ac:dyDescent="0.2">
      <c r="AF62" s="11">
        <v>141</v>
      </c>
      <c r="AG62" s="37"/>
    </row>
    <row r="63" spans="1:33" ht="15" x14ac:dyDescent="0.2">
      <c r="AF63" s="11">
        <v>142</v>
      </c>
      <c r="AG63" s="37"/>
    </row>
    <row r="64" spans="1:33" ht="15" x14ac:dyDescent="0.2">
      <c r="AF64" s="12">
        <v>143</v>
      </c>
      <c r="AG64" s="37"/>
    </row>
    <row r="65" spans="32:33" ht="15" x14ac:dyDescent="0.2">
      <c r="AF65" s="12">
        <v>145</v>
      </c>
      <c r="AG65" s="37"/>
    </row>
    <row r="66" spans="32:33" ht="15" x14ac:dyDescent="0.2">
      <c r="AF66" s="12" t="s">
        <v>78</v>
      </c>
      <c r="AG66" s="37"/>
    </row>
    <row r="67" spans="32:33" ht="15" x14ac:dyDescent="0.2">
      <c r="AF67" s="11">
        <v>150</v>
      </c>
      <c r="AG67" s="37"/>
    </row>
    <row r="68" spans="32:33" ht="15" x14ac:dyDescent="0.2">
      <c r="AF68" s="12">
        <v>159</v>
      </c>
      <c r="AG68" s="37"/>
    </row>
    <row r="69" spans="32:33" ht="15" x14ac:dyDescent="0.2">
      <c r="AF69" s="12" t="s">
        <v>79</v>
      </c>
      <c r="AG69" s="37"/>
    </row>
    <row r="70" spans="32:33" ht="15" x14ac:dyDescent="0.2">
      <c r="AF70" s="12">
        <v>160</v>
      </c>
      <c r="AG70" s="37"/>
    </row>
    <row r="71" spans="32:33" ht="15" x14ac:dyDescent="0.2">
      <c r="AF71" s="11" t="s">
        <v>80</v>
      </c>
      <c r="AG71" s="37"/>
    </row>
    <row r="72" spans="32:33" ht="15" x14ac:dyDescent="0.2">
      <c r="AF72" s="11">
        <v>161</v>
      </c>
      <c r="AG72" s="37"/>
    </row>
    <row r="73" spans="32:33" ht="15" x14ac:dyDescent="0.2">
      <c r="AF73" s="11" t="s">
        <v>81</v>
      </c>
      <c r="AG73" s="37"/>
    </row>
    <row r="74" spans="32:33" ht="15" x14ac:dyDescent="0.2">
      <c r="AF74" s="11">
        <v>162</v>
      </c>
      <c r="AG74" s="37"/>
    </row>
    <row r="75" spans="32:33" ht="15" x14ac:dyDescent="0.2">
      <c r="AF75" s="11">
        <v>163</v>
      </c>
      <c r="AG75" s="37"/>
    </row>
    <row r="76" spans="32:33" ht="15" x14ac:dyDescent="0.2">
      <c r="AF76" s="11">
        <v>171</v>
      </c>
      <c r="AG76" s="37"/>
    </row>
    <row r="77" spans="32:33" ht="15" x14ac:dyDescent="0.2">
      <c r="AF77" s="11" t="s">
        <v>82</v>
      </c>
      <c r="AG77" s="37"/>
    </row>
    <row r="78" spans="32:33" ht="15" x14ac:dyDescent="0.2">
      <c r="AF78" s="11">
        <v>172</v>
      </c>
      <c r="AG78" s="37"/>
    </row>
    <row r="79" spans="32:33" ht="15" x14ac:dyDescent="0.2">
      <c r="AF79" s="11" t="s">
        <v>83</v>
      </c>
      <c r="AG79" s="37"/>
    </row>
    <row r="80" spans="32:33" ht="15" x14ac:dyDescent="0.2">
      <c r="AF80" s="11">
        <v>179</v>
      </c>
      <c r="AG80" s="37"/>
    </row>
    <row r="81" spans="32:33" ht="15" x14ac:dyDescent="0.2">
      <c r="AF81" s="11">
        <v>180</v>
      </c>
      <c r="AG81" s="37"/>
    </row>
    <row r="82" spans="32:33" ht="15" x14ac:dyDescent="0.2">
      <c r="AF82" s="11" t="s">
        <v>84</v>
      </c>
      <c r="AG82" s="37"/>
    </row>
    <row r="83" spans="32:33" ht="15" x14ac:dyDescent="0.2">
      <c r="AF83" s="11">
        <v>199</v>
      </c>
      <c r="AG83" s="37"/>
    </row>
    <row r="84" spans="32:33" ht="15" x14ac:dyDescent="0.2">
      <c r="AF84" s="11" t="s">
        <v>85</v>
      </c>
      <c r="AG84" s="37"/>
    </row>
    <row r="85" spans="32:33" ht="15" x14ac:dyDescent="0.2">
      <c r="AF85" s="11">
        <v>200</v>
      </c>
      <c r="AG85" s="37"/>
    </row>
    <row r="86" spans="32:33" ht="15" x14ac:dyDescent="0.2">
      <c r="AF86" s="11" t="s">
        <v>86</v>
      </c>
      <c r="AG86" s="37"/>
    </row>
    <row r="87" spans="32:33" ht="15" x14ac:dyDescent="0.2">
      <c r="AF87" s="11">
        <v>201</v>
      </c>
      <c r="AG87" s="37"/>
    </row>
    <row r="88" spans="32:33" ht="15" x14ac:dyDescent="0.2">
      <c r="AF88" s="11">
        <v>202</v>
      </c>
      <c r="AG88" s="37"/>
    </row>
    <row r="89" spans="32:33" ht="15" x14ac:dyDescent="0.2">
      <c r="AF89" s="11">
        <v>203</v>
      </c>
      <c r="AG89" s="37"/>
    </row>
    <row r="90" spans="32:33" ht="15" x14ac:dyDescent="0.2">
      <c r="AF90" s="11">
        <v>204</v>
      </c>
      <c r="AG90" s="37"/>
    </row>
    <row r="91" spans="32:33" ht="15" x14ac:dyDescent="0.2">
      <c r="AF91" s="14">
        <v>206</v>
      </c>
      <c r="AG91" s="37" t="s">
        <v>156</v>
      </c>
    </row>
    <row r="92" spans="32:33" ht="15" x14ac:dyDescent="0.2">
      <c r="AF92" s="11">
        <v>216</v>
      </c>
      <c r="AG92" s="37"/>
    </row>
    <row r="93" spans="32:33" ht="15" x14ac:dyDescent="0.2">
      <c r="AF93" s="12" t="s">
        <v>87</v>
      </c>
      <c r="AG93" s="37"/>
    </row>
    <row r="94" spans="32:33" ht="15" x14ac:dyDescent="0.2">
      <c r="AF94" s="11">
        <v>219</v>
      </c>
      <c r="AG94" s="37" t="s">
        <v>156</v>
      </c>
    </row>
    <row r="95" spans="32:33" ht="15" x14ac:dyDescent="0.2">
      <c r="AF95" s="11">
        <v>239</v>
      </c>
      <c r="AG95" s="37"/>
    </row>
    <row r="96" spans="32:33" ht="15" x14ac:dyDescent="0.2">
      <c r="AF96" s="11">
        <v>240</v>
      </c>
      <c r="AG96" s="37"/>
    </row>
    <row r="97" spans="32:33" ht="15" x14ac:dyDescent="0.2">
      <c r="AF97" s="11" t="s">
        <v>88</v>
      </c>
      <c r="AG97" s="37"/>
    </row>
    <row r="98" spans="32:33" ht="15" x14ac:dyDescent="0.2">
      <c r="AF98" s="11">
        <v>242</v>
      </c>
      <c r="AG98" s="37"/>
    </row>
    <row r="99" spans="32:33" ht="15" x14ac:dyDescent="0.2">
      <c r="AF99" s="12">
        <v>245</v>
      </c>
      <c r="AG99" s="37"/>
    </row>
    <row r="100" spans="32:33" ht="15" x14ac:dyDescent="0.2">
      <c r="AF100" s="11" t="s">
        <v>89</v>
      </c>
      <c r="AG100" s="37"/>
    </row>
    <row r="101" spans="32:33" ht="15" x14ac:dyDescent="0.2">
      <c r="AF101" s="11">
        <v>250</v>
      </c>
      <c r="AG101" s="37"/>
    </row>
    <row r="102" spans="32:33" ht="15" x14ac:dyDescent="0.2">
      <c r="AF102" s="11">
        <v>300</v>
      </c>
      <c r="AG102" s="37"/>
    </row>
    <row r="103" spans="32:33" ht="15" x14ac:dyDescent="0.2">
      <c r="AF103" s="11">
        <v>302</v>
      </c>
      <c r="AG103" s="37" t="s">
        <v>156</v>
      </c>
    </row>
    <row r="104" spans="32:33" ht="15" x14ac:dyDescent="0.2">
      <c r="AF104" s="11">
        <v>302</v>
      </c>
      <c r="AG104" s="37" t="s">
        <v>156</v>
      </c>
    </row>
    <row r="105" spans="32:33" ht="15" x14ac:dyDescent="0.2">
      <c r="AF105" s="11">
        <v>303</v>
      </c>
      <c r="AG105" s="37"/>
    </row>
    <row r="106" spans="32:33" ht="15" x14ac:dyDescent="0.2">
      <c r="AF106" s="11">
        <v>310</v>
      </c>
      <c r="AG106" s="37"/>
    </row>
    <row r="107" spans="32:33" ht="15" x14ac:dyDescent="0.2">
      <c r="AF107" s="11" t="s">
        <v>90</v>
      </c>
      <c r="AG107" s="37"/>
    </row>
    <row r="108" spans="32:33" ht="15" x14ac:dyDescent="0.2">
      <c r="AF108" s="12">
        <v>316</v>
      </c>
      <c r="AG108" s="37"/>
    </row>
    <row r="109" spans="32:33" ht="15" x14ac:dyDescent="0.2">
      <c r="AF109" s="12" t="s">
        <v>91</v>
      </c>
      <c r="AG109" s="37"/>
    </row>
    <row r="110" spans="32:33" ht="15" x14ac:dyDescent="0.2">
      <c r="AF110" s="12">
        <v>320</v>
      </c>
      <c r="AG110" s="37" t="s">
        <v>156</v>
      </c>
    </row>
    <row r="111" spans="32:33" ht="15" x14ac:dyDescent="0.2">
      <c r="AF111" s="12" t="s">
        <v>92</v>
      </c>
      <c r="AG111" s="37" t="s">
        <v>156</v>
      </c>
    </row>
    <row r="112" spans="32:33" ht="15" x14ac:dyDescent="0.2">
      <c r="AF112" s="12">
        <v>321</v>
      </c>
      <c r="AG112" s="37"/>
    </row>
    <row r="113" spans="32:33" ht="15" x14ac:dyDescent="0.2">
      <c r="AF113" s="11" t="s">
        <v>93</v>
      </c>
      <c r="AG113" s="37"/>
    </row>
    <row r="114" spans="32:33" ht="15" x14ac:dyDescent="0.2">
      <c r="AF114" s="11">
        <v>325</v>
      </c>
      <c r="AG114" s="37"/>
    </row>
    <row r="115" spans="32:33" ht="15" x14ac:dyDescent="0.2">
      <c r="AF115" s="11" t="s">
        <v>94</v>
      </c>
      <c r="AG115" s="37"/>
    </row>
    <row r="116" spans="32:33" ht="15" x14ac:dyDescent="0.2">
      <c r="AF116" s="11">
        <v>327</v>
      </c>
      <c r="AG116" s="37"/>
    </row>
    <row r="117" spans="32:33" ht="15" x14ac:dyDescent="0.2">
      <c r="AF117" s="12" t="s">
        <v>95</v>
      </c>
      <c r="AG117" s="37"/>
    </row>
    <row r="118" spans="32:33" ht="15" x14ac:dyDescent="0.2">
      <c r="AF118" s="12">
        <v>328</v>
      </c>
      <c r="AG118" s="37"/>
    </row>
    <row r="119" spans="32:33" ht="15" x14ac:dyDescent="0.2">
      <c r="AF119" s="12" t="s">
        <v>96</v>
      </c>
      <c r="AG119" s="37"/>
    </row>
    <row r="120" spans="32:33" ht="15" x14ac:dyDescent="0.2">
      <c r="AF120" s="12">
        <v>329</v>
      </c>
      <c r="AG120" s="37"/>
    </row>
    <row r="121" spans="32:33" ht="15" x14ac:dyDescent="0.2">
      <c r="AF121" s="12" t="s">
        <v>97</v>
      </c>
      <c r="AG121" s="37"/>
    </row>
    <row r="122" spans="32:33" ht="15" x14ac:dyDescent="0.2">
      <c r="AF122" s="12">
        <v>330</v>
      </c>
      <c r="AG122" s="37"/>
    </row>
    <row r="123" spans="32:33" ht="15" x14ac:dyDescent="0.2">
      <c r="AF123" s="12" t="s">
        <v>98</v>
      </c>
      <c r="AG123" s="37"/>
    </row>
    <row r="124" spans="32:33" ht="15" x14ac:dyDescent="0.2">
      <c r="AF124" s="12">
        <v>350</v>
      </c>
      <c r="AG124" s="37"/>
    </row>
    <row r="125" spans="32:33" ht="15" x14ac:dyDescent="0.2">
      <c r="AF125" s="11" t="s">
        <v>99</v>
      </c>
      <c r="AG125" s="37"/>
    </row>
    <row r="126" spans="32:33" ht="15" x14ac:dyDescent="0.2">
      <c r="AF126" s="11">
        <v>360</v>
      </c>
      <c r="AG126" s="37"/>
    </row>
    <row r="127" spans="32:33" ht="15" x14ac:dyDescent="0.2">
      <c r="AF127" s="12" t="s">
        <v>100</v>
      </c>
      <c r="AG127" s="37"/>
    </row>
    <row r="128" spans="32:33" ht="15" x14ac:dyDescent="0.2">
      <c r="AF128" s="12">
        <v>380</v>
      </c>
      <c r="AG128" s="37"/>
    </row>
    <row r="129" spans="32:33" ht="15" x14ac:dyDescent="0.2">
      <c r="AF129" s="12" t="s">
        <v>101</v>
      </c>
      <c r="AG129" s="37"/>
    </row>
    <row r="130" spans="32:33" ht="15" x14ac:dyDescent="0.2">
      <c r="AF130" s="12">
        <v>390</v>
      </c>
      <c r="AG130" s="37"/>
    </row>
    <row r="131" spans="32:33" ht="15" x14ac:dyDescent="0.2">
      <c r="AF131" s="12" t="s">
        <v>102</v>
      </c>
      <c r="AG131" s="37"/>
    </row>
    <row r="132" spans="32:33" ht="15" x14ac:dyDescent="0.2">
      <c r="AF132" s="12">
        <v>395</v>
      </c>
      <c r="AG132" s="37"/>
    </row>
    <row r="133" spans="32:33" ht="15" x14ac:dyDescent="0.2">
      <c r="AF133" s="12" t="s">
        <v>103</v>
      </c>
      <c r="AG133" s="37"/>
    </row>
    <row r="134" spans="32:33" ht="15" x14ac:dyDescent="0.2">
      <c r="AF134" s="11">
        <v>400</v>
      </c>
      <c r="AG134" s="37"/>
    </row>
    <row r="135" spans="32:33" ht="15" x14ac:dyDescent="0.2">
      <c r="AF135" s="11" t="s">
        <v>104</v>
      </c>
      <c r="AG135" s="37"/>
    </row>
    <row r="136" spans="32:33" ht="15" x14ac:dyDescent="0.2">
      <c r="AF136" s="12">
        <v>401</v>
      </c>
      <c r="AG136" s="37"/>
    </row>
    <row r="137" spans="32:33" ht="15" x14ac:dyDescent="0.2">
      <c r="AF137" s="11">
        <v>405</v>
      </c>
      <c r="AG137" s="37"/>
    </row>
    <row r="138" spans="32:33" ht="15" x14ac:dyDescent="0.2">
      <c r="AF138" s="11" t="s">
        <v>105</v>
      </c>
      <c r="AG138" s="37"/>
    </row>
    <row r="139" spans="32:33" ht="15" x14ac:dyDescent="0.2">
      <c r="AF139" s="11">
        <v>411</v>
      </c>
      <c r="AG139" s="37"/>
    </row>
    <row r="140" spans="32:33" ht="15" x14ac:dyDescent="0.2">
      <c r="AF140" s="11">
        <v>429</v>
      </c>
      <c r="AG140" s="37"/>
    </row>
    <row r="141" spans="32:33" ht="15" x14ac:dyDescent="0.2">
      <c r="AF141" s="11" t="s">
        <v>106</v>
      </c>
      <c r="AG141" s="37"/>
    </row>
    <row r="142" spans="32:33" ht="15" x14ac:dyDescent="0.2">
      <c r="AF142" s="11">
        <v>430</v>
      </c>
      <c r="AG142" s="37"/>
    </row>
    <row r="143" spans="32:33" ht="15" x14ac:dyDescent="0.2">
      <c r="AF143" s="11" t="s">
        <v>107</v>
      </c>
      <c r="AG143" s="37"/>
    </row>
    <row r="144" spans="32:33" ht="15" x14ac:dyDescent="0.2">
      <c r="AF144" s="12">
        <v>450</v>
      </c>
      <c r="AG144" s="37" t="s">
        <v>156</v>
      </c>
    </row>
    <row r="145" spans="32:33" ht="15" x14ac:dyDescent="0.2">
      <c r="AF145" s="11" t="s">
        <v>108</v>
      </c>
      <c r="AG145" s="37" t="s">
        <v>156</v>
      </c>
    </row>
    <row r="146" spans="32:33" ht="15" x14ac:dyDescent="0.2">
      <c r="AF146" s="11">
        <v>499</v>
      </c>
      <c r="AG146" s="37"/>
    </row>
    <row r="147" spans="32:33" ht="15" x14ac:dyDescent="0.2">
      <c r="AF147" s="11" t="s">
        <v>109</v>
      </c>
      <c r="AG147" s="37"/>
    </row>
    <row r="148" spans="32:33" ht="15" x14ac:dyDescent="0.2">
      <c r="AF148" s="11">
        <v>500</v>
      </c>
      <c r="AG148" s="37"/>
    </row>
    <row r="149" spans="32:33" ht="15" x14ac:dyDescent="0.2">
      <c r="AF149" s="12" t="s">
        <v>110</v>
      </c>
      <c r="AG149" s="37"/>
    </row>
    <row r="150" spans="32:33" ht="15" x14ac:dyDescent="0.2">
      <c r="AF150" s="11">
        <v>501</v>
      </c>
      <c r="AG150" s="37"/>
    </row>
    <row r="151" spans="32:33" ht="15" x14ac:dyDescent="0.2">
      <c r="AF151" s="11">
        <v>501</v>
      </c>
      <c r="AG151" s="37"/>
    </row>
    <row r="152" spans="32:33" ht="15" x14ac:dyDescent="0.2">
      <c r="AF152" s="11">
        <v>502</v>
      </c>
      <c r="AG152" s="37"/>
    </row>
    <row r="153" spans="32:33" ht="15" x14ac:dyDescent="0.2">
      <c r="AF153" s="11" t="s">
        <v>111</v>
      </c>
      <c r="AG153" s="37"/>
    </row>
    <row r="154" spans="32:33" ht="15" x14ac:dyDescent="0.2">
      <c r="AF154" s="11">
        <v>550</v>
      </c>
      <c r="AG154" s="37"/>
    </row>
    <row r="155" spans="32:33" ht="15" x14ac:dyDescent="0.2">
      <c r="AF155" s="11" t="s">
        <v>112</v>
      </c>
      <c r="AG155" s="37"/>
    </row>
    <row r="156" spans="32:33" ht="15" x14ac:dyDescent="0.2">
      <c r="AF156" s="12">
        <v>570</v>
      </c>
      <c r="AG156" s="37"/>
    </row>
    <row r="157" spans="32:33" ht="15" x14ac:dyDescent="0.2">
      <c r="AF157" s="12" t="s">
        <v>113</v>
      </c>
      <c r="AG157" s="37"/>
    </row>
    <row r="158" spans="32:33" ht="15" x14ac:dyDescent="0.2">
      <c r="AF158" s="12">
        <v>580</v>
      </c>
      <c r="AG158" s="37" t="s">
        <v>156</v>
      </c>
    </row>
    <row r="159" spans="32:33" ht="15" x14ac:dyDescent="0.2">
      <c r="AF159" s="12" t="s">
        <v>114</v>
      </c>
      <c r="AG159" s="37" t="s">
        <v>156</v>
      </c>
    </row>
    <row r="160" spans="32:33" ht="15" x14ac:dyDescent="0.2">
      <c r="AF160" s="11">
        <v>581</v>
      </c>
      <c r="AG160" s="37"/>
    </row>
    <row r="161" spans="32:33" ht="15" x14ac:dyDescent="0.2">
      <c r="AF161" s="11" t="s">
        <v>115</v>
      </c>
      <c r="AG161" s="37"/>
    </row>
    <row r="162" spans="32:33" ht="15" x14ac:dyDescent="0.2">
      <c r="AF162" s="11">
        <v>582</v>
      </c>
      <c r="AG162" s="37"/>
    </row>
    <row r="163" spans="32:33" ht="15" x14ac:dyDescent="0.2">
      <c r="AF163" s="11" t="s">
        <v>116</v>
      </c>
      <c r="AG163" s="37"/>
    </row>
    <row r="164" spans="32:33" ht="15" x14ac:dyDescent="0.2">
      <c r="AF164" s="12">
        <v>590</v>
      </c>
      <c r="AG164" s="37"/>
    </row>
    <row r="165" spans="32:33" ht="15" x14ac:dyDescent="0.2">
      <c r="AF165" s="11" t="s">
        <v>117</v>
      </c>
      <c r="AG165" s="37"/>
    </row>
    <row r="166" spans="32:33" ht="15" x14ac:dyDescent="0.2">
      <c r="AF166" s="12">
        <v>595</v>
      </c>
      <c r="AG166" s="37"/>
    </row>
    <row r="167" spans="32:33" ht="15" x14ac:dyDescent="0.2">
      <c r="AF167" s="11" t="s">
        <v>118</v>
      </c>
      <c r="AG167" s="37"/>
    </row>
    <row r="168" spans="32:33" ht="15" x14ac:dyDescent="0.2">
      <c r="AF168" s="11">
        <v>600</v>
      </c>
      <c r="AG168" s="37"/>
    </row>
    <row r="169" spans="32:33" ht="15" x14ac:dyDescent="0.2">
      <c r="AF169" s="11" t="s">
        <v>119</v>
      </c>
      <c r="AG169" s="37"/>
    </row>
    <row r="170" spans="32:33" ht="15" x14ac:dyDescent="0.2">
      <c r="AF170" s="11">
        <v>601</v>
      </c>
      <c r="AG170" s="37"/>
    </row>
    <row r="171" spans="32:33" ht="15" x14ac:dyDescent="0.2">
      <c r="AF171" s="11" t="s">
        <v>120</v>
      </c>
      <c r="AG171" s="37"/>
    </row>
    <row r="172" spans="32:33" ht="15" x14ac:dyDescent="0.2">
      <c r="AF172" s="11">
        <v>605</v>
      </c>
      <c r="AG172" s="37"/>
    </row>
    <row r="173" spans="32:33" ht="15" x14ac:dyDescent="0.2">
      <c r="AF173" s="11" t="s">
        <v>121</v>
      </c>
      <c r="AG173" s="37"/>
    </row>
    <row r="174" spans="32:33" ht="15" x14ac:dyDescent="0.2">
      <c r="AF174" s="11">
        <v>640</v>
      </c>
      <c r="AG174" s="37"/>
    </row>
    <row r="175" spans="32:33" ht="15" x14ac:dyDescent="0.2">
      <c r="AF175" s="11" t="s">
        <v>122</v>
      </c>
      <c r="AG175" s="37"/>
    </row>
    <row r="176" spans="32:33" ht="15" x14ac:dyDescent="0.2">
      <c r="AF176" s="11">
        <v>650</v>
      </c>
      <c r="AG176" s="37"/>
    </row>
    <row r="177" spans="32:33" ht="15" x14ac:dyDescent="0.2">
      <c r="AF177" s="11" t="s">
        <v>123</v>
      </c>
      <c r="AG177" s="37"/>
    </row>
    <row r="178" spans="32:33" ht="15" x14ac:dyDescent="0.2">
      <c r="AF178" s="11">
        <v>690</v>
      </c>
      <c r="AG178" s="37"/>
    </row>
    <row r="179" spans="32:33" ht="15" x14ac:dyDescent="0.2">
      <c r="AF179" s="11" t="s">
        <v>124</v>
      </c>
      <c r="AG179" s="37"/>
    </row>
    <row r="180" spans="32:33" ht="15" x14ac:dyDescent="0.2">
      <c r="AF180" s="11">
        <v>700</v>
      </c>
      <c r="AG180" s="37" t="s">
        <v>156</v>
      </c>
    </row>
    <row r="181" spans="32:33" ht="15" x14ac:dyDescent="0.2">
      <c r="AF181" s="11">
        <v>701</v>
      </c>
      <c r="AG181" s="37" t="s">
        <v>156</v>
      </c>
    </row>
    <row r="182" spans="32:33" ht="15" x14ac:dyDescent="0.2">
      <c r="AF182" s="11">
        <v>710</v>
      </c>
      <c r="AG182" s="37"/>
    </row>
    <row r="183" spans="32:33" ht="15" x14ac:dyDescent="0.2">
      <c r="AF183" s="11" t="s">
        <v>125</v>
      </c>
      <c r="AG183" s="37"/>
    </row>
    <row r="184" spans="32:33" ht="15" x14ac:dyDescent="0.2">
      <c r="AF184" s="11">
        <v>711</v>
      </c>
      <c r="AG184" s="37"/>
    </row>
    <row r="185" spans="32:33" ht="15" x14ac:dyDescent="0.2">
      <c r="AF185" s="11" t="s">
        <v>126</v>
      </c>
      <c r="AG185" s="37"/>
    </row>
    <row r="186" spans="32:33" ht="15" x14ac:dyDescent="0.2">
      <c r="AF186" s="11">
        <v>720</v>
      </c>
      <c r="AG186" s="37"/>
    </row>
    <row r="187" spans="32:33" ht="15" x14ac:dyDescent="0.2">
      <c r="AF187" s="12" t="s">
        <v>127</v>
      </c>
      <c r="AG187" s="37"/>
    </row>
    <row r="188" spans="32:33" ht="15" x14ac:dyDescent="0.2">
      <c r="AF188" s="11">
        <v>721</v>
      </c>
      <c r="AG188" s="37"/>
    </row>
    <row r="189" spans="32:33" ht="15" x14ac:dyDescent="0.2">
      <c r="AF189" s="11" t="s">
        <v>128</v>
      </c>
      <c r="AG189" s="37"/>
    </row>
    <row r="190" spans="32:33" ht="15" x14ac:dyDescent="0.2">
      <c r="AF190" s="11">
        <v>730</v>
      </c>
      <c r="AG190" s="37"/>
    </row>
    <row r="191" spans="32:33" ht="15" x14ac:dyDescent="0.2">
      <c r="AF191" s="11" t="s">
        <v>129</v>
      </c>
      <c r="AG191" s="37"/>
    </row>
    <row r="192" spans="32:33" ht="15" x14ac:dyDescent="0.2">
      <c r="AF192" s="11">
        <v>750</v>
      </c>
      <c r="AG192" s="37"/>
    </row>
    <row r="193" spans="32:33" ht="15" x14ac:dyDescent="0.2">
      <c r="AF193" s="12" t="s">
        <v>130</v>
      </c>
      <c r="AG193" s="37"/>
    </row>
    <row r="194" spans="32:33" ht="15" x14ac:dyDescent="0.2">
      <c r="AF194" s="11">
        <v>760</v>
      </c>
      <c r="AG194" s="37"/>
    </row>
    <row r="195" spans="32:33" ht="15" x14ac:dyDescent="0.2">
      <c r="AF195" s="11" t="s">
        <v>131</v>
      </c>
      <c r="AG195" s="37"/>
    </row>
    <row r="196" spans="32:33" ht="15" x14ac:dyDescent="0.2">
      <c r="AF196" s="11">
        <v>770</v>
      </c>
      <c r="AG196" s="37"/>
    </row>
    <row r="197" spans="32:33" ht="15" x14ac:dyDescent="0.2">
      <c r="AF197" s="11" t="s">
        <v>132</v>
      </c>
      <c r="AG197" s="37"/>
    </row>
    <row r="198" spans="32:33" ht="15" x14ac:dyDescent="0.2">
      <c r="AF198" s="11">
        <v>800</v>
      </c>
      <c r="AG198" s="37"/>
    </row>
    <row r="199" spans="32:33" ht="15" x14ac:dyDescent="0.2">
      <c r="AF199" s="11" t="s">
        <v>133</v>
      </c>
      <c r="AG199" s="37"/>
    </row>
    <row r="200" spans="32:33" ht="15" x14ac:dyDescent="0.2">
      <c r="AF200" s="13">
        <v>810</v>
      </c>
      <c r="AG200" s="37"/>
    </row>
    <row r="201" spans="32:33" ht="15" x14ac:dyDescent="0.2">
      <c r="AF201" s="11">
        <v>815</v>
      </c>
      <c r="AG201" s="37"/>
    </row>
    <row r="202" spans="32:33" ht="15" x14ac:dyDescent="0.2">
      <c r="AF202" s="11">
        <v>816</v>
      </c>
      <c r="AG202" s="37"/>
    </row>
    <row r="203" spans="32:33" ht="15" x14ac:dyDescent="0.2">
      <c r="AF203" s="12">
        <v>817</v>
      </c>
      <c r="AG203" s="37"/>
    </row>
    <row r="204" spans="32:33" ht="15" x14ac:dyDescent="0.2">
      <c r="AF204" s="11">
        <v>818</v>
      </c>
      <c r="AG204" s="37"/>
    </row>
    <row r="205" spans="32:33" ht="15" x14ac:dyDescent="0.2">
      <c r="AF205" s="15">
        <v>819</v>
      </c>
      <c r="AG205" s="37"/>
    </row>
    <row r="206" spans="32:33" ht="15" x14ac:dyDescent="0.2">
      <c r="AF206" s="16">
        <v>820</v>
      </c>
      <c r="AG206" s="37" t="s">
        <v>156</v>
      </c>
    </row>
    <row r="207" spans="32:33" ht="15" x14ac:dyDescent="0.2">
      <c r="AF207" s="16">
        <v>830</v>
      </c>
      <c r="AG207" s="37"/>
    </row>
    <row r="208" spans="32:33" ht="15" x14ac:dyDescent="0.2">
      <c r="AF208" s="17" t="s">
        <v>134</v>
      </c>
      <c r="AG208" s="37"/>
    </row>
    <row r="209" spans="32:33" ht="15" x14ac:dyDescent="0.2">
      <c r="AF209" s="16">
        <v>840</v>
      </c>
      <c r="AG209" s="37" t="s">
        <v>156</v>
      </c>
    </row>
    <row r="210" spans="32:33" ht="15" x14ac:dyDescent="0.2">
      <c r="AF210" s="16">
        <v>841</v>
      </c>
      <c r="AG210" s="37"/>
    </row>
    <row r="211" spans="32:33" ht="15" x14ac:dyDescent="0.2">
      <c r="AF211" s="16" t="s">
        <v>135</v>
      </c>
      <c r="AG211" s="37"/>
    </row>
    <row r="212" spans="32:33" ht="15" x14ac:dyDescent="0.2">
      <c r="AF212" s="16">
        <v>845</v>
      </c>
      <c r="AG212" s="37"/>
    </row>
    <row r="213" spans="32:33" ht="15" x14ac:dyDescent="0.2">
      <c r="AF213" s="16" t="s">
        <v>136</v>
      </c>
      <c r="AG213" s="37"/>
    </row>
    <row r="214" spans="32:33" ht="15" x14ac:dyDescent="0.2">
      <c r="AF214" s="16">
        <v>850</v>
      </c>
      <c r="AG214" s="37"/>
    </row>
    <row r="215" spans="32:33" ht="15" x14ac:dyDescent="0.2">
      <c r="AF215" s="12">
        <v>852</v>
      </c>
      <c r="AG215" s="37"/>
    </row>
    <row r="216" spans="32:33" ht="15" x14ac:dyDescent="0.2">
      <c r="AF216" s="12" t="s">
        <v>137</v>
      </c>
      <c r="AG216" s="37"/>
    </row>
    <row r="217" spans="32:33" ht="15" x14ac:dyDescent="0.2">
      <c r="AF217" s="12">
        <v>853</v>
      </c>
      <c r="AG217" s="37"/>
    </row>
    <row r="218" spans="32:33" ht="15" x14ac:dyDescent="0.2">
      <c r="AF218" s="12" t="s">
        <v>138</v>
      </c>
      <c r="AG218" s="37"/>
    </row>
    <row r="219" spans="32:33" ht="15" x14ac:dyDescent="0.2">
      <c r="AF219" s="12">
        <v>854</v>
      </c>
      <c r="AG219" s="37"/>
    </row>
    <row r="220" spans="32:33" ht="15" x14ac:dyDescent="0.2">
      <c r="AF220" s="12" t="s">
        <v>139</v>
      </c>
      <c r="AG220" s="37"/>
    </row>
    <row r="221" spans="32:33" ht="15" x14ac:dyDescent="0.2">
      <c r="AF221" s="12">
        <v>855</v>
      </c>
      <c r="AG221" s="37"/>
    </row>
    <row r="222" spans="32:33" ht="15" x14ac:dyDescent="0.2">
      <c r="AF222" s="12" t="s">
        <v>140</v>
      </c>
      <c r="AG222" s="37"/>
    </row>
    <row r="223" spans="32:33" ht="15" x14ac:dyDescent="0.2">
      <c r="AF223" s="12">
        <v>870</v>
      </c>
      <c r="AG223" s="37"/>
    </row>
    <row r="224" spans="32:33" ht="15" x14ac:dyDescent="0.2">
      <c r="AF224" s="12" t="s">
        <v>141</v>
      </c>
      <c r="AG224" s="37"/>
    </row>
    <row r="225" spans="32:33" ht="15" x14ac:dyDescent="0.2">
      <c r="AF225" s="12">
        <v>880</v>
      </c>
      <c r="AG225" s="37"/>
    </row>
    <row r="226" spans="32:33" ht="15" x14ac:dyDescent="0.2">
      <c r="AF226" s="12" t="s">
        <v>142</v>
      </c>
      <c r="AG226" s="37"/>
    </row>
    <row r="227" spans="32:33" ht="15" x14ac:dyDescent="0.2">
      <c r="AF227" s="12">
        <v>881</v>
      </c>
      <c r="AG227" s="37"/>
    </row>
    <row r="228" spans="32:33" ht="15" x14ac:dyDescent="0.2">
      <c r="AF228" s="12">
        <v>890</v>
      </c>
      <c r="AG228" s="37"/>
    </row>
    <row r="229" spans="32:33" ht="15" x14ac:dyDescent="0.2">
      <c r="AF229" s="12">
        <v>901</v>
      </c>
      <c r="AG229" s="37"/>
    </row>
    <row r="230" spans="32:33" ht="15" x14ac:dyDescent="0.2">
      <c r="AF230" s="12" t="s">
        <v>143</v>
      </c>
      <c r="AG230" s="37"/>
    </row>
    <row r="231" spans="32:33" ht="15" x14ac:dyDescent="0.2">
      <c r="AF231" s="12">
        <v>911</v>
      </c>
      <c r="AG231" s="37"/>
    </row>
    <row r="232" spans="32:33" ht="15" x14ac:dyDescent="0.2">
      <c r="AF232" s="12" t="s">
        <v>144</v>
      </c>
      <c r="AG232" s="37"/>
    </row>
    <row r="233" spans="32:33" ht="15" x14ac:dyDescent="0.2">
      <c r="AF233" s="12">
        <v>1010</v>
      </c>
      <c r="AG233" s="37"/>
    </row>
    <row r="234" spans="32:33" ht="15" x14ac:dyDescent="0.2">
      <c r="AF234" s="12">
        <v>1011</v>
      </c>
      <c r="AG234" s="37"/>
    </row>
    <row r="235" spans="32:33" ht="15" x14ac:dyDescent="0.2">
      <c r="AF235" s="12">
        <v>1012</v>
      </c>
      <c r="AG235" s="37"/>
    </row>
    <row r="236" spans="32:33" ht="15" x14ac:dyDescent="0.2">
      <c r="AF236" s="12">
        <v>1013</v>
      </c>
      <c r="AG236" s="37"/>
    </row>
    <row r="237" spans="32:33" ht="15" x14ac:dyDescent="0.2">
      <c r="AF237" s="12">
        <v>1400</v>
      </c>
      <c r="AG237" s="37"/>
    </row>
    <row r="238" spans="32:33" ht="15" x14ac:dyDescent="0.2">
      <c r="AF238" s="12">
        <v>1460</v>
      </c>
      <c r="AG238" s="37"/>
    </row>
    <row r="239" spans="32:33" ht="15" x14ac:dyDescent="0.2">
      <c r="AF239" s="12">
        <v>2013</v>
      </c>
      <c r="AG239" s="37" t="s">
        <v>156</v>
      </c>
    </row>
    <row r="240" spans="32:33" ht="15" x14ac:dyDescent="0.2">
      <c r="AF240" s="12" t="s">
        <v>145</v>
      </c>
      <c r="AG240" s="37" t="s">
        <v>156</v>
      </c>
    </row>
    <row r="241" spans="32:33" ht="15" x14ac:dyDescent="0.2">
      <c r="AF241" s="12">
        <v>2014</v>
      </c>
      <c r="AG241" s="37" t="s">
        <v>156</v>
      </c>
    </row>
    <row r="242" spans="32:33" ht="15" x14ac:dyDescent="0.2">
      <c r="AF242" s="12">
        <v>2130</v>
      </c>
      <c r="AG242" s="37"/>
    </row>
    <row r="243" spans="32:33" ht="15" x14ac:dyDescent="0.2">
      <c r="AF243" s="12" t="s">
        <v>146</v>
      </c>
      <c r="AG243" s="37"/>
    </row>
    <row r="244" spans="32:33" ht="15" x14ac:dyDescent="0.2">
      <c r="AF244" s="12">
        <v>2131</v>
      </c>
      <c r="AG244" s="37"/>
    </row>
    <row r="245" spans="32:33" ht="15" x14ac:dyDescent="0.2">
      <c r="AF245" s="12" t="s">
        <v>147</v>
      </c>
      <c r="AG245" s="37"/>
    </row>
    <row r="246" spans="32:33" ht="15" x14ac:dyDescent="0.2">
      <c r="AF246" s="12">
        <v>2134</v>
      </c>
      <c r="AG246" s="37"/>
    </row>
    <row r="247" spans="32:33" ht="15" x14ac:dyDescent="0.2">
      <c r="AF247" s="12" t="s">
        <v>148</v>
      </c>
      <c r="AG247" s="37"/>
    </row>
    <row r="248" spans="32:33" ht="15" x14ac:dyDescent="0.2">
      <c r="AF248" s="12">
        <v>2226</v>
      </c>
      <c r="AG248" s="37"/>
    </row>
    <row r="249" spans="32:33" ht="15" x14ac:dyDescent="0.2">
      <c r="AF249" s="12" t="s">
        <v>149</v>
      </c>
      <c r="AG249" s="37"/>
    </row>
    <row r="250" spans="32:33" ht="15" x14ac:dyDescent="0.2">
      <c r="AF250" s="12">
        <v>4130</v>
      </c>
      <c r="AG250" s="37"/>
    </row>
    <row r="251" spans="32:33" ht="15" x14ac:dyDescent="0.2">
      <c r="AF251" s="12" t="s">
        <v>150</v>
      </c>
      <c r="AG251" s="37"/>
    </row>
    <row r="252" spans="32:33" ht="15" x14ac:dyDescent="0.2">
      <c r="AF252" s="12">
        <v>4131</v>
      </c>
      <c r="AG252" s="37"/>
    </row>
    <row r="253" spans="32:33" ht="15" x14ac:dyDescent="0.2">
      <c r="AF253" s="12" t="s">
        <v>151</v>
      </c>
      <c r="AG253" s="37"/>
    </row>
    <row r="254" spans="32:33" ht="15" x14ac:dyDescent="0.2">
      <c r="AF254" s="12">
        <v>5400</v>
      </c>
      <c r="AG254" s="37"/>
    </row>
    <row r="255" spans="32:33" ht="15" x14ac:dyDescent="0.2">
      <c r="AF255" s="12">
        <v>5403</v>
      </c>
      <c r="AG255" s="37"/>
    </row>
  </sheetData>
  <sheetProtection algorithmName="SHA-512" hashValue="jrgFZ8CFwxmaFS85Lvwf6my8vMgbXl9R5z4YCUq2vexP+xiDcDpaIUgmYjeHkQu+xK2hgQ/arkPnVSGHIRrcOA==" saltValue="ckpqguWwrqXjGSn3ag1kTg==" spinCount="100000" sheet="1" objects="1" scenarios="1"/>
  <sortState xmlns:xlrd2="http://schemas.microsoft.com/office/spreadsheetml/2017/richdata2" ref="A20:Q29">
    <sortCondition ref="A20"/>
  </sortState>
  <mergeCells count="82">
    <mergeCell ref="U12:X12"/>
    <mergeCell ref="L9:P9"/>
    <mergeCell ref="U9:X9"/>
    <mergeCell ref="Q9:T9"/>
    <mergeCell ref="U8:X8"/>
    <mergeCell ref="A10:K11"/>
    <mergeCell ref="A9:K9"/>
    <mergeCell ref="Z10:AB10"/>
    <mergeCell ref="Q10:T10"/>
    <mergeCell ref="Z9:AB9"/>
    <mergeCell ref="U11:X11"/>
    <mergeCell ref="A50:C50"/>
    <mergeCell ref="D50:AB50"/>
    <mergeCell ref="A45:V49"/>
    <mergeCell ref="AB48:AB49"/>
    <mergeCell ref="AA48:AA49"/>
    <mergeCell ref="W45:X45"/>
    <mergeCell ref="W46:Z49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A7:B7"/>
    <mergeCell ref="A8:B8"/>
    <mergeCell ref="A1:AB1"/>
    <mergeCell ref="A4:B4"/>
    <mergeCell ref="A5:B5"/>
    <mergeCell ref="A6:B6"/>
    <mergeCell ref="C3:AB3"/>
    <mergeCell ref="C4:AB4"/>
    <mergeCell ref="B2:E2"/>
    <mergeCell ref="A3:B3"/>
    <mergeCell ref="F2:M2"/>
    <mergeCell ref="N2:Z2"/>
    <mergeCell ref="Z8:AB8"/>
    <mergeCell ref="C8:M8"/>
    <mergeCell ref="N8:P8"/>
    <mergeCell ref="Q8:T8"/>
    <mergeCell ref="B42:K42"/>
    <mergeCell ref="B33:K33"/>
    <mergeCell ref="B34:K34"/>
    <mergeCell ref="B35:K35"/>
    <mergeCell ref="B36:K36"/>
    <mergeCell ref="B37:K37"/>
    <mergeCell ref="B38:K38"/>
    <mergeCell ref="B39:K39"/>
    <mergeCell ref="B44:K44"/>
    <mergeCell ref="B43:K43"/>
    <mergeCell ref="Y11:AB11"/>
    <mergeCell ref="B20:K20"/>
    <mergeCell ref="B21:K21"/>
    <mergeCell ref="B22:K22"/>
    <mergeCell ref="B18:K18"/>
    <mergeCell ref="B19:K19"/>
    <mergeCell ref="B12:K12"/>
    <mergeCell ref="B13:K13"/>
    <mergeCell ref="B14:K14"/>
    <mergeCell ref="B15:K15"/>
    <mergeCell ref="B16:K16"/>
    <mergeCell ref="B17:K17"/>
    <mergeCell ref="B40:K40"/>
    <mergeCell ref="B41:K41"/>
    <mergeCell ref="C5:N5"/>
    <mergeCell ref="O5:R5"/>
    <mergeCell ref="S5:Z5"/>
    <mergeCell ref="C6:G6"/>
    <mergeCell ref="H6:K6"/>
    <mergeCell ref="L6:P6"/>
    <mergeCell ref="Q6:R6"/>
    <mergeCell ref="S6:W6"/>
    <mergeCell ref="X6:Z6"/>
    <mergeCell ref="AA6:AB6"/>
    <mergeCell ref="C7:L7"/>
    <mergeCell ref="Q7:T7"/>
    <mergeCell ref="U7:V7"/>
    <mergeCell ref="W7:AB7"/>
  </mergeCells>
  <phoneticPr fontId="0" type="noConversion"/>
  <conditionalFormatting sqref="C8">
    <cfRule type="expression" priority="2">
      <formula>$C$7</formula>
    </cfRule>
  </conditionalFormatting>
  <conditionalFormatting sqref="Q8">
    <cfRule type="expression" priority="1">
      <formula>$C$7</formula>
    </cfRule>
  </conditionalFormatting>
  <printOptions horizontalCentered="1"/>
  <pageMargins left="0.25" right="0.25" top="0.75" bottom="0.75" header="0.3" footer="0.3"/>
  <pageSetup paperSize="9" scale="65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35"/>
  <sheetViews>
    <sheetView topLeftCell="A312" workbookViewId="0">
      <selection activeCell="F347" sqref="F347"/>
    </sheetView>
  </sheetViews>
  <sheetFormatPr defaultRowHeight="15" x14ac:dyDescent="0.2"/>
  <cols>
    <col min="1" max="1" width="10.28515625" style="5" customWidth="1"/>
    <col min="2" max="2" width="15.42578125" style="2" bestFit="1" customWidth="1"/>
    <col min="3" max="3" width="6.5703125" style="7" customWidth="1"/>
    <col min="4" max="4" width="4" style="7" bestFit="1" customWidth="1"/>
    <col min="5" max="5" width="7.5703125" style="7" customWidth="1"/>
    <col min="6" max="6" width="13.85546875" style="6" bestFit="1" customWidth="1"/>
    <col min="7" max="7" width="5.7109375" style="1" customWidth="1"/>
    <col min="8" max="9" width="5.7109375" style="1" hidden="1" customWidth="1"/>
    <col min="10" max="10" width="20.140625" style="1" hidden="1" customWidth="1"/>
    <col min="11" max="16384" width="9.140625" style="1"/>
  </cols>
  <sheetData>
    <row r="1" spans="1:10" x14ac:dyDescent="0.2">
      <c r="A1" s="11">
        <v>15</v>
      </c>
      <c r="B1" s="37"/>
      <c r="C1" s="38"/>
      <c r="D1" s="38"/>
      <c r="E1" s="39"/>
      <c r="F1" s="3">
        <v>26.9</v>
      </c>
      <c r="H1" s="9" t="s">
        <v>24</v>
      </c>
      <c r="I1" s="8"/>
      <c r="J1" s="1" t="s">
        <v>44</v>
      </c>
    </row>
    <row r="2" spans="1:10" x14ac:dyDescent="0.2">
      <c r="A2" s="11" t="s">
        <v>49</v>
      </c>
      <c r="B2" s="37"/>
      <c r="C2" s="38"/>
      <c r="D2" s="38"/>
      <c r="E2" s="39"/>
      <c r="F2" s="3">
        <v>29.9</v>
      </c>
      <c r="H2" s="9" t="s">
        <v>25</v>
      </c>
      <c r="I2" s="8"/>
      <c r="J2" s="1" t="s">
        <v>47</v>
      </c>
    </row>
    <row r="3" spans="1:10" x14ac:dyDescent="0.2">
      <c r="A3" s="11">
        <v>70</v>
      </c>
      <c r="B3" s="37"/>
      <c r="C3" s="38"/>
      <c r="D3" s="38"/>
      <c r="E3" s="39"/>
      <c r="F3" s="3">
        <v>47.9</v>
      </c>
      <c r="H3" s="9"/>
      <c r="I3" s="8"/>
    </row>
    <row r="4" spans="1:10" x14ac:dyDescent="0.2">
      <c r="A4" s="11" t="s">
        <v>167</v>
      </c>
      <c r="B4" s="37"/>
      <c r="C4" s="38"/>
      <c r="D4" s="38"/>
      <c r="E4" s="39"/>
      <c r="F4" s="3">
        <v>52.9</v>
      </c>
      <c r="H4" s="9"/>
      <c r="I4" s="8"/>
    </row>
    <row r="5" spans="1:10" x14ac:dyDescent="0.2">
      <c r="A5" s="11">
        <v>72</v>
      </c>
      <c r="B5" s="37"/>
      <c r="C5" s="38"/>
      <c r="D5" s="38"/>
      <c r="E5" s="39"/>
      <c r="F5" s="3">
        <v>44.9</v>
      </c>
      <c r="H5" s="9"/>
      <c r="I5" s="8"/>
    </row>
    <row r="6" spans="1:10" x14ac:dyDescent="0.2">
      <c r="A6" s="11" t="s">
        <v>168</v>
      </c>
      <c r="B6" s="37"/>
      <c r="C6" s="38"/>
      <c r="D6" s="38"/>
      <c r="E6" s="39"/>
      <c r="F6" s="3">
        <v>50.9</v>
      </c>
      <c r="H6" s="9"/>
      <c r="I6" s="8"/>
    </row>
    <row r="7" spans="1:10" x14ac:dyDescent="0.2">
      <c r="A7" s="11">
        <v>80</v>
      </c>
      <c r="B7" s="37"/>
      <c r="C7" s="38"/>
      <c r="D7" s="38"/>
      <c r="E7" s="39"/>
      <c r="F7" s="3">
        <v>47.9</v>
      </c>
      <c r="H7" s="9" t="s">
        <v>31</v>
      </c>
      <c r="I7" s="8" t="s">
        <v>45</v>
      </c>
      <c r="J7" s="1" t="s">
        <v>46</v>
      </c>
    </row>
    <row r="8" spans="1:10" x14ac:dyDescent="0.2">
      <c r="A8" s="11" t="s">
        <v>50</v>
      </c>
      <c r="B8" s="37"/>
      <c r="C8" s="38"/>
      <c r="D8" s="38"/>
      <c r="E8" s="39"/>
      <c r="F8" s="6">
        <v>52.9</v>
      </c>
      <c r="H8" s="9" t="s">
        <v>26</v>
      </c>
      <c r="I8" s="8" t="s">
        <v>34</v>
      </c>
    </row>
    <row r="9" spans="1:10" x14ac:dyDescent="0.2">
      <c r="A9" s="11">
        <v>83</v>
      </c>
      <c r="B9" s="37"/>
      <c r="C9" s="38"/>
      <c r="D9" s="38"/>
      <c r="E9" s="39"/>
      <c r="F9" s="3">
        <v>45</v>
      </c>
      <c r="H9" s="8"/>
      <c r="I9" s="8" t="s">
        <v>33</v>
      </c>
    </row>
    <row r="10" spans="1:10" x14ac:dyDescent="0.2">
      <c r="A10" s="11" t="s">
        <v>51</v>
      </c>
      <c r="B10" s="37"/>
      <c r="C10" s="38"/>
      <c r="D10" s="38"/>
      <c r="E10" s="39"/>
      <c r="F10" s="3">
        <v>47.9</v>
      </c>
      <c r="H10" s="8"/>
      <c r="I10" s="8" t="s">
        <v>35</v>
      </c>
    </row>
    <row r="11" spans="1:10" x14ac:dyDescent="0.2">
      <c r="A11" s="12">
        <v>85</v>
      </c>
      <c r="B11" s="37"/>
      <c r="C11" s="38"/>
      <c r="D11" s="38"/>
      <c r="E11" s="39"/>
      <c r="F11" s="18">
        <v>40.9</v>
      </c>
      <c r="H11" s="8"/>
      <c r="I11" s="8" t="s">
        <v>32</v>
      </c>
    </row>
    <row r="12" spans="1:10" x14ac:dyDescent="0.2">
      <c r="A12" s="11" t="s">
        <v>52</v>
      </c>
      <c r="B12" s="37"/>
      <c r="C12" s="38"/>
      <c r="D12" s="38"/>
      <c r="E12" s="39"/>
      <c r="F12" s="3">
        <v>45</v>
      </c>
      <c r="H12" s="8"/>
      <c r="I12" s="10" t="s">
        <v>36</v>
      </c>
    </row>
    <row r="13" spans="1:10" x14ac:dyDescent="0.2">
      <c r="A13" s="11">
        <v>86</v>
      </c>
      <c r="B13" s="37"/>
      <c r="C13" s="38"/>
      <c r="D13" s="38"/>
      <c r="E13" s="39"/>
      <c r="F13" s="3">
        <v>53.9</v>
      </c>
      <c r="H13" s="8"/>
      <c r="I13" s="10" t="s">
        <v>37</v>
      </c>
    </row>
    <row r="14" spans="1:10" x14ac:dyDescent="0.2">
      <c r="A14" s="11" t="s">
        <v>53</v>
      </c>
      <c r="B14" s="37"/>
      <c r="C14" s="38"/>
      <c r="D14" s="38"/>
      <c r="E14" s="39"/>
      <c r="F14" s="6">
        <v>59.9</v>
      </c>
      <c r="H14" s="8"/>
      <c r="I14" s="10" t="s">
        <v>38</v>
      </c>
    </row>
    <row r="15" spans="1:10" x14ac:dyDescent="0.2">
      <c r="A15" s="11">
        <v>87</v>
      </c>
      <c r="B15" s="37"/>
      <c r="C15" s="38"/>
      <c r="D15" s="38"/>
      <c r="E15" s="39"/>
      <c r="F15" s="3">
        <v>46.9</v>
      </c>
      <c r="H15" s="8"/>
      <c r="I15" s="8" t="s">
        <v>33</v>
      </c>
    </row>
    <row r="16" spans="1:10" x14ac:dyDescent="0.2">
      <c r="A16" s="12" t="s">
        <v>54</v>
      </c>
      <c r="B16" s="37"/>
      <c r="C16" s="38"/>
      <c r="D16" s="38"/>
      <c r="E16" s="39"/>
      <c r="F16" s="18">
        <v>52.9</v>
      </c>
      <c r="H16" s="8"/>
      <c r="I16" s="8" t="s">
        <v>32</v>
      </c>
    </row>
    <row r="17" spans="1:9" x14ac:dyDescent="0.2">
      <c r="A17" s="11">
        <v>88</v>
      </c>
      <c r="B17" s="37"/>
      <c r="C17" s="38"/>
      <c r="D17" s="38"/>
      <c r="E17" s="39"/>
      <c r="F17" s="3">
        <v>49.9</v>
      </c>
      <c r="H17" s="8"/>
      <c r="I17" s="8" t="s">
        <v>39</v>
      </c>
    </row>
    <row r="18" spans="1:9" x14ac:dyDescent="0.2">
      <c r="A18" s="11" t="s">
        <v>55</v>
      </c>
      <c r="B18" s="37"/>
      <c r="C18" s="38"/>
      <c r="D18" s="38"/>
      <c r="E18" s="39"/>
      <c r="F18" s="3">
        <v>54.9</v>
      </c>
      <c r="H18" s="8"/>
      <c r="I18" s="8" t="s">
        <v>40</v>
      </c>
    </row>
    <row r="19" spans="1:9" x14ac:dyDescent="0.2">
      <c r="A19" s="11">
        <v>90</v>
      </c>
      <c r="B19" s="37"/>
      <c r="C19" s="38"/>
      <c r="D19" s="38"/>
      <c r="E19" s="39"/>
      <c r="F19" s="6">
        <v>42.9</v>
      </c>
      <c r="H19" s="8"/>
      <c r="I19" s="10" t="s">
        <v>41</v>
      </c>
    </row>
    <row r="20" spans="1:9" x14ac:dyDescent="0.2">
      <c r="A20" s="11" t="s">
        <v>56</v>
      </c>
      <c r="B20" s="37"/>
      <c r="C20" s="38"/>
      <c r="D20" s="38"/>
      <c r="E20" s="39"/>
      <c r="F20" s="3">
        <v>46.9</v>
      </c>
      <c r="I20" s="8" t="s">
        <v>42</v>
      </c>
    </row>
    <row r="21" spans="1:9" x14ac:dyDescent="0.2">
      <c r="A21" s="11">
        <v>91</v>
      </c>
      <c r="B21" s="37"/>
      <c r="C21" s="38"/>
      <c r="D21" s="38"/>
      <c r="E21" s="39"/>
      <c r="F21" s="3">
        <v>45.9</v>
      </c>
    </row>
    <row r="22" spans="1:9" x14ac:dyDescent="0.2">
      <c r="A22" s="11" t="s">
        <v>57</v>
      </c>
      <c r="B22" s="37"/>
      <c r="C22" s="38"/>
      <c r="D22" s="38"/>
      <c r="E22" s="39"/>
      <c r="F22" s="3">
        <v>50.9</v>
      </c>
    </row>
    <row r="23" spans="1:9" x14ac:dyDescent="0.2">
      <c r="A23" s="11">
        <v>92</v>
      </c>
      <c r="B23" s="37"/>
      <c r="C23" s="38"/>
      <c r="D23" s="38"/>
      <c r="E23" s="39"/>
      <c r="F23" s="6">
        <v>42.9</v>
      </c>
    </row>
    <row r="24" spans="1:9" x14ac:dyDescent="0.2">
      <c r="A24" s="11" t="s">
        <v>58</v>
      </c>
      <c r="B24" s="37"/>
      <c r="C24" s="38"/>
      <c r="D24" s="38"/>
      <c r="E24" s="39"/>
      <c r="F24" s="3">
        <v>46.9</v>
      </c>
    </row>
    <row r="25" spans="1:9" x14ac:dyDescent="0.2">
      <c r="A25" s="11">
        <v>93</v>
      </c>
      <c r="B25" s="37"/>
      <c r="C25" s="38"/>
      <c r="D25" s="38"/>
      <c r="E25" s="39"/>
      <c r="F25" s="6">
        <v>47.9</v>
      </c>
    </row>
    <row r="26" spans="1:9" x14ac:dyDescent="0.2">
      <c r="A26" s="12" t="s">
        <v>59</v>
      </c>
      <c r="B26" s="37"/>
      <c r="C26" s="38"/>
      <c r="D26" s="38"/>
      <c r="E26" s="39"/>
      <c r="F26" s="18">
        <v>52.9</v>
      </c>
    </row>
    <row r="27" spans="1:9" x14ac:dyDescent="0.2">
      <c r="A27" s="11">
        <v>94</v>
      </c>
      <c r="B27" s="37"/>
      <c r="C27" s="38"/>
      <c r="D27" s="38"/>
      <c r="E27" s="39"/>
      <c r="F27" s="3">
        <v>42.9</v>
      </c>
    </row>
    <row r="28" spans="1:9" x14ac:dyDescent="0.2">
      <c r="A28" s="11" t="s">
        <v>60</v>
      </c>
      <c r="B28" s="37"/>
      <c r="C28" s="38"/>
      <c r="D28" s="38"/>
      <c r="E28" s="39"/>
      <c r="F28" s="6">
        <v>46.9</v>
      </c>
    </row>
    <row r="29" spans="1:9" x14ac:dyDescent="0.2">
      <c r="A29" s="11">
        <v>95</v>
      </c>
      <c r="B29" s="37"/>
      <c r="C29" s="38"/>
      <c r="D29" s="38"/>
      <c r="E29" s="39"/>
      <c r="F29" s="3">
        <v>48.9</v>
      </c>
    </row>
    <row r="30" spans="1:9" x14ac:dyDescent="0.2">
      <c r="A30" s="11" t="s">
        <v>61</v>
      </c>
      <c r="B30" s="37"/>
      <c r="C30" s="38"/>
      <c r="D30" s="38"/>
      <c r="E30" s="39"/>
      <c r="F30" s="3">
        <v>52.9</v>
      </c>
    </row>
    <row r="31" spans="1:9" x14ac:dyDescent="0.2">
      <c r="A31" s="11">
        <v>96</v>
      </c>
      <c r="B31" s="37"/>
      <c r="C31" s="38"/>
      <c r="D31" s="38"/>
      <c r="E31" s="39"/>
      <c r="F31" s="18">
        <v>57.9</v>
      </c>
    </row>
    <row r="32" spans="1:9" x14ac:dyDescent="0.2">
      <c r="A32" s="12" t="s">
        <v>62</v>
      </c>
      <c r="B32" s="37"/>
      <c r="C32" s="38"/>
      <c r="D32" s="38"/>
      <c r="E32" s="39"/>
      <c r="F32" s="18">
        <v>62.9</v>
      </c>
    </row>
    <row r="33" spans="1:6" x14ac:dyDescent="0.2">
      <c r="A33" s="12">
        <v>102</v>
      </c>
      <c r="B33" s="37"/>
      <c r="C33" s="38"/>
      <c r="D33" s="38"/>
      <c r="E33" s="39"/>
      <c r="F33" s="18">
        <v>33.9</v>
      </c>
    </row>
    <row r="34" spans="1:6" x14ac:dyDescent="0.2">
      <c r="A34" s="12">
        <v>103</v>
      </c>
      <c r="B34" s="37"/>
      <c r="C34" s="38"/>
      <c r="D34" s="38"/>
      <c r="E34" s="39"/>
      <c r="F34" s="18">
        <v>31.9</v>
      </c>
    </row>
    <row r="35" spans="1:6" x14ac:dyDescent="0.2">
      <c r="A35" s="12">
        <v>104</v>
      </c>
      <c r="B35" s="37"/>
      <c r="C35" s="38"/>
      <c r="D35" s="38"/>
      <c r="E35" s="39"/>
      <c r="F35" s="18">
        <v>31.9</v>
      </c>
    </row>
    <row r="36" spans="1:6" x14ac:dyDescent="0.2">
      <c r="A36" s="12">
        <v>107</v>
      </c>
      <c r="B36" s="37"/>
      <c r="C36" s="38"/>
      <c r="D36" s="38"/>
      <c r="E36" s="39"/>
      <c r="F36" s="18">
        <v>48.9</v>
      </c>
    </row>
    <row r="37" spans="1:6" x14ac:dyDescent="0.2">
      <c r="A37" s="12" t="s">
        <v>192</v>
      </c>
      <c r="B37" s="37"/>
      <c r="C37" s="38"/>
      <c r="D37" s="38"/>
      <c r="E37" s="39"/>
      <c r="F37" s="18">
        <v>53.9</v>
      </c>
    </row>
    <row r="38" spans="1:6" x14ac:dyDescent="0.2">
      <c r="A38" s="13">
        <v>108</v>
      </c>
      <c r="B38" s="37" t="s">
        <v>156</v>
      </c>
      <c r="C38" s="38"/>
      <c r="D38" s="38"/>
      <c r="E38" s="39"/>
      <c r="F38" s="18">
        <v>6.9</v>
      </c>
    </row>
    <row r="39" spans="1:6" x14ac:dyDescent="0.2">
      <c r="A39" s="12">
        <v>109</v>
      </c>
      <c r="B39" s="37"/>
      <c r="C39" s="38"/>
      <c r="D39" s="38"/>
      <c r="E39" s="39"/>
      <c r="F39" s="18">
        <v>37.9</v>
      </c>
    </row>
    <row r="40" spans="1:6" x14ac:dyDescent="0.2">
      <c r="A40" s="13" t="s">
        <v>64</v>
      </c>
      <c r="B40" s="37"/>
      <c r="C40" s="38"/>
      <c r="D40" s="38"/>
      <c r="E40" s="39"/>
      <c r="F40" s="18">
        <v>40.9</v>
      </c>
    </row>
    <row r="41" spans="1:6" x14ac:dyDescent="0.2">
      <c r="A41" s="12">
        <v>110</v>
      </c>
      <c r="B41" s="37"/>
      <c r="C41" s="38"/>
      <c r="D41" s="38"/>
      <c r="E41" s="39"/>
      <c r="F41" s="18">
        <v>32.9</v>
      </c>
    </row>
    <row r="42" spans="1:6" x14ac:dyDescent="0.2">
      <c r="A42" s="12" t="s">
        <v>65</v>
      </c>
      <c r="B42" s="37"/>
      <c r="C42" s="38"/>
      <c r="D42" s="38"/>
      <c r="E42" s="39"/>
      <c r="F42" s="18">
        <v>35.9</v>
      </c>
    </row>
    <row r="43" spans="1:6" x14ac:dyDescent="0.2">
      <c r="A43" s="12">
        <v>111</v>
      </c>
      <c r="B43" s="37"/>
      <c r="C43" s="38"/>
      <c r="D43" s="38"/>
      <c r="E43" s="39"/>
      <c r="F43" s="18">
        <v>28.9</v>
      </c>
    </row>
    <row r="44" spans="1:6" x14ac:dyDescent="0.2">
      <c r="A44" s="12" t="s">
        <v>66</v>
      </c>
      <c r="B44" s="37"/>
      <c r="C44" s="38"/>
      <c r="D44" s="38"/>
      <c r="E44" s="39"/>
      <c r="F44" s="18">
        <v>30.9</v>
      </c>
    </row>
    <row r="45" spans="1:6" x14ac:dyDescent="0.2">
      <c r="A45" s="12">
        <v>113</v>
      </c>
      <c r="B45" s="37"/>
      <c r="C45" s="38"/>
      <c r="D45" s="38"/>
      <c r="E45" s="39"/>
      <c r="F45" s="18">
        <v>43.9</v>
      </c>
    </row>
    <row r="46" spans="1:6" x14ac:dyDescent="0.2">
      <c r="A46" s="12">
        <v>114</v>
      </c>
      <c r="B46" s="37"/>
      <c r="C46" s="38"/>
      <c r="D46" s="38"/>
      <c r="E46" s="39"/>
      <c r="F46" s="18">
        <v>32.9</v>
      </c>
    </row>
    <row r="47" spans="1:6" x14ac:dyDescent="0.2">
      <c r="A47" s="12">
        <v>115</v>
      </c>
      <c r="B47" s="37"/>
      <c r="C47" s="38"/>
      <c r="D47" s="38"/>
      <c r="E47" s="39"/>
      <c r="F47" s="18">
        <v>30.9</v>
      </c>
    </row>
    <row r="48" spans="1:6" x14ac:dyDescent="0.2">
      <c r="A48" s="12" t="s">
        <v>67</v>
      </c>
      <c r="B48" s="37"/>
      <c r="C48" s="38"/>
      <c r="D48" s="38"/>
      <c r="E48" s="39"/>
      <c r="F48" s="18">
        <v>34.9</v>
      </c>
    </row>
    <row r="49" spans="1:6" x14ac:dyDescent="0.2">
      <c r="A49" s="12">
        <v>116</v>
      </c>
      <c r="B49" s="37"/>
      <c r="C49" s="38"/>
      <c r="D49" s="38"/>
      <c r="E49" s="39"/>
      <c r="F49" s="18">
        <v>36.9</v>
      </c>
    </row>
    <row r="50" spans="1:6" x14ac:dyDescent="0.2">
      <c r="A50" s="12" t="s">
        <v>68</v>
      </c>
      <c r="B50" s="37"/>
      <c r="C50" s="38"/>
      <c r="D50" s="38"/>
      <c r="E50" s="39"/>
      <c r="F50" s="18">
        <v>40.9</v>
      </c>
    </row>
    <row r="51" spans="1:6" x14ac:dyDescent="0.2">
      <c r="A51" s="12">
        <v>118</v>
      </c>
      <c r="B51" s="37" t="s">
        <v>156</v>
      </c>
      <c r="C51" s="38"/>
      <c r="D51" s="38"/>
      <c r="E51" s="39"/>
      <c r="F51" s="6">
        <v>18.899999999999999</v>
      </c>
    </row>
    <row r="52" spans="1:6" x14ac:dyDescent="0.2">
      <c r="A52" s="12">
        <v>119</v>
      </c>
      <c r="B52" s="37" t="s">
        <v>156</v>
      </c>
      <c r="C52" s="38"/>
      <c r="D52" s="38"/>
      <c r="E52" s="39"/>
      <c r="F52" s="3">
        <v>21.9</v>
      </c>
    </row>
    <row r="53" spans="1:6" x14ac:dyDescent="0.2">
      <c r="A53" s="11">
        <v>121</v>
      </c>
      <c r="B53" s="37" t="s">
        <v>156</v>
      </c>
      <c r="C53" s="38"/>
      <c r="D53" s="38"/>
      <c r="E53" s="39"/>
      <c r="F53" s="18">
        <v>15.9</v>
      </c>
    </row>
    <row r="54" spans="1:6" x14ac:dyDescent="0.2">
      <c r="A54" s="11">
        <v>122</v>
      </c>
      <c r="B54" s="37"/>
      <c r="C54" s="38"/>
      <c r="D54" s="38"/>
      <c r="E54" s="39"/>
      <c r="F54" s="18">
        <v>36.9</v>
      </c>
    </row>
    <row r="55" spans="1:6" x14ac:dyDescent="0.2">
      <c r="A55" s="12" t="s">
        <v>157</v>
      </c>
      <c r="B55" s="37"/>
      <c r="C55" s="38"/>
      <c r="D55" s="38"/>
      <c r="E55" s="39"/>
      <c r="F55" s="18">
        <v>40.9</v>
      </c>
    </row>
    <row r="56" spans="1:6" x14ac:dyDescent="0.2">
      <c r="A56" s="12">
        <v>123</v>
      </c>
      <c r="B56" s="37"/>
      <c r="C56" s="38"/>
      <c r="D56" s="38"/>
      <c r="E56" s="39"/>
      <c r="F56" s="18">
        <v>47.9</v>
      </c>
    </row>
    <row r="57" spans="1:6" x14ac:dyDescent="0.2">
      <c r="A57" s="11" t="s">
        <v>69</v>
      </c>
      <c r="B57" s="37"/>
      <c r="C57" s="38"/>
      <c r="D57" s="38"/>
      <c r="E57" s="39"/>
      <c r="F57" s="18">
        <v>52.9</v>
      </c>
    </row>
    <row r="58" spans="1:6" x14ac:dyDescent="0.2">
      <c r="A58" s="12">
        <v>124</v>
      </c>
      <c r="B58" s="37"/>
      <c r="C58" s="38"/>
      <c r="D58" s="38"/>
      <c r="E58" s="39"/>
      <c r="F58" s="3">
        <v>24.9</v>
      </c>
    </row>
    <row r="59" spans="1:6" x14ac:dyDescent="0.2">
      <c r="A59" s="12">
        <v>125</v>
      </c>
      <c r="B59" s="37"/>
      <c r="C59" s="38"/>
      <c r="D59" s="38"/>
      <c r="E59" s="39"/>
      <c r="F59" s="18">
        <v>47.9</v>
      </c>
    </row>
    <row r="60" spans="1:6" x14ac:dyDescent="0.2">
      <c r="A60" s="12" t="s">
        <v>70</v>
      </c>
      <c r="B60" s="37"/>
      <c r="C60" s="38"/>
      <c r="D60" s="38"/>
      <c r="E60" s="39"/>
      <c r="F60" s="6">
        <v>52.9</v>
      </c>
    </row>
    <row r="61" spans="1:6" x14ac:dyDescent="0.2">
      <c r="A61" s="12">
        <v>126</v>
      </c>
      <c r="B61" s="37"/>
      <c r="C61" s="38"/>
      <c r="D61" s="38"/>
      <c r="E61" s="39"/>
      <c r="F61" s="3">
        <v>46.9</v>
      </c>
    </row>
    <row r="62" spans="1:6" x14ac:dyDescent="0.2">
      <c r="A62" s="12" t="s">
        <v>71</v>
      </c>
      <c r="B62" s="37"/>
      <c r="C62" s="38"/>
      <c r="D62" s="38"/>
      <c r="E62" s="39"/>
      <c r="F62" s="6">
        <v>51.9</v>
      </c>
    </row>
    <row r="63" spans="1:6" x14ac:dyDescent="0.2">
      <c r="A63" s="11">
        <v>128</v>
      </c>
      <c r="B63" s="37"/>
      <c r="C63" s="38"/>
      <c r="D63" s="38"/>
      <c r="E63" s="39"/>
      <c r="F63" s="18">
        <v>46.9</v>
      </c>
    </row>
    <row r="64" spans="1:6" x14ac:dyDescent="0.2">
      <c r="A64" s="12" t="s">
        <v>72</v>
      </c>
      <c r="B64" s="37"/>
      <c r="C64" s="38"/>
      <c r="D64" s="38"/>
      <c r="E64" s="39"/>
      <c r="F64" s="3">
        <v>50.9</v>
      </c>
    </row>
    <row r="65" spans="1:6" x14ac:dyDescent="0.2">
      <c r="A65" s="11">
        <v>129</v>
      </c>
      <c r="B65" s="37"/>
      <c r="C65" s="38"/>
      <c r="D65" s="38"/>
      <c r="E65" s="39"/>
      <c r="F65" s="18">
        <v>50.9</v>
      </c>
    </row>
    <row r="66" spans="1:6" x14ac:dyDescent="0.2">
      <c r="A66" s="11" t="s">
        <v>73</v>
      </c>
      <c r="B66" s="37"/>
      <c r="C66" s="38"/>
      <c r="D66" s="38"/>
      <c r="E66" s="39"/>
      <c r="F66" s="18">
        <v>54.9</v>
      </c>
    </row>
    <row r="67" spans="1:6" x14ac:dyDescent="0.2">
      <c r="A67" s="11">
        <v>130</v>
      </c>
      <c r="B67" s="37"/>
      <c r="C67" s="38"/>
      <c r="D67" s="38"/>
      <c r="E67" s="39"/>
      <c r="F67" s="18">
        <v>53.9</v>
      </c>
    </row>
    <row r="68" spans="1:6" x14ac:dyDescent="0.2">
      <c r="A68" s="13" t="s">
        <v>74</v>
      </c>
      <c r="B68" s="37"/>
      <c r="C68" s="38"/>
      <c r="D68" s="38"/>
      <c r="E68" s="39"/>
      <c r="F68" s="18">
        <v>65.900000000000006</v>
      </c>
    </row>
    <row r="69" spans="1:6" x14ac:dyDescent="0.2">
      <c r="A69" s="11">
        <v>131</v>
      </c>
      <c r="B69" s="37"/>
      <c r="C69" s="38"/>
      <c r="D69" s="38"/>
      <c r="E69" s="39"/>
      <c r="F69" s="6">
        <v>18.899999999999999</v>
      </c>
    </row>
    <row r="70" spans="1:6" x14ac:dyDescent="0.2">
      <c r="A70" s="13" t="s">
        <v>75</v>
      </c>
      <c r="B70" s="37"/>
      <c r="C70" s="38"/>
      <c r="D70" s="38"/>
      <c r="E70" s="39"/>
      <c r="F70" s="6">
        <v>20.9</v>
      </c>
    </row>
    <row r="71" spans="1:6" x14ac:dyDescent="0.2">
      <c r="A71" s="12">
        <v>135</v>
      </c>
      <c r="B71" s="37"/>
      <c r="C71" s="38"/>
      <c r="D71" s="38"/>
      <c r="E71" s="39"/>
      <c r="F71" s="6">
        <v>18.899999999999999</v>
      </c>
    </row>
    <row r="72" spans="1:6" x14ac:dyDescent="0.2">
      <c r="A72" s="12" t="s">
        <v>76</v>
      </c>
      <c r="B72" s="37"/>
      <c r="C72" s="38"/>
      <c r="D72" s="38"/>
      <c r="E72" s="39"/>
      <c r="F72" s="18">
        <v>20.9</v>
      </c>
    </row>
    <row r="73" spans="1:6" x14ac:dyDescent="0.2">
      <c r="A73" s="12">
        <v>139</v>
      </c>
      <c r="B73" s="37"/>
      <c r="C73" s="38"/>
      <c r="D73" s="38"/>
      <c r="E73" s="39"/>
      <c r="F73" s="18">
        <v>28.9</v>
      </c>
    </row>
    <row r="74" spans="1:6" x14ac:dyDescent="0.2">
      <c r="A74" s="11">
        <v>140</v>
      </c>
      <c r="B74" s="37"/>
      <c r="C74" s="38"/>
      <c r="D74" s="38"/>
      <c r="E74" s="39"/>
      <c r="F74" s="6">
        <v>52.9</v>
      </c>
    </row>
    <row r="75" spans="1:6" x14ac:dyDescent="0.2">
      <c r="A75" s="11" t="s">
        <v>77</v>
      </c>
      <c r="B75" s="37"/>
      <c r="C75" s="38"/>
      <c r="D75" s="38"/>
      <c r="E75" s="39"/>
      <c r="F75" s="18">
        <v>57.9</v>
      </c>
    </row>
    <row r="76" spans="1:6" x14ac:dyDescent="0.2">
      <c r="A76" s="11">
        <v>141</v>
      </c>
      <c r="B76" s="37"/>
      <c r="C76" s="38"/>
      <c r="D76" s="38"/>
      <c r="E76" s="39"/>
      <c r="F76" s="18">
        <v>42.9</v>
      </c>
    </row>
    <row r="77" spans="1:6" x14ac:dyDescent="0.2">
      <c r="A77" s="11">
        <v>142</v>
      </c>
      <c r="B77" s="37"/>
      <c r="C77" s="38"/>
      <c r="D77" s="38"/>
      <c r="E77" s="39"/>
      <c r="F77" s="6">
        <v>34.9</v>
      </c>
    </row>
    <row r="78" spans="1:6" x14ac:dyDescent="0.2">
      <c r="A78" s="12">
        <v>143</v>
      </c>
      <c r="B78" s="37"/>
      <c r="C78" s="38"/>
      <c r="D78" s="38"/>
      <c r="E78" s="39"/>
      <c r="F78" s="3">
        <v>34.9</v>
      </c>
    </row>
    <row r="79" spans="1:6" x14ac:dyDescent="0.2">
      <c r="A79" s="12">
        <v>145</v>
      </c>
      <c r="B79" s="37"/>
      <c r="C79" s="38"/>
      <c r="D79" s="38"/>
      <c r="E79" s="39"/>
      <c r="F79" s="6">
        <v>59.9</v>
      </c>
    </row>
    <row r="80" spans="1:6" x14ac:dyDescent="0.2">
      <c r="A80" s="12" t="s">
        <v>78</v>
      </c>
      <c r="B80" s="37"/>
      <c r="C80" s="38"/>
      <c r="D80" s="38"/>
      <c r="E80" s="39"/>
      <c r="F80" s="6">
        <v>64.900000000000006</v>
      </c>
    </row>
    <row r="81" spans="1:6" x14ac:dyDescent="0.2">
      <c r="A81" s="11">
        <v>150</v>
      </c>
      <c r="B81" s="37"/>
      <c r="C81" s="38"/>
      <c r="D81" s="38"/>
      <c r="E81" s="39"/>
      <c r="F81" s="3">
        <v>59.9</v>
      </c>
    </row>
    <row r="82" spans="1:6" x14ac:dyDescent="0.2">
      <c r="A82" s="12">
        <v>159</v>
      </c>
      <c r="B82" s="37"/>
      <c r="C82" s="38"/>
      <c r="D82" s="38"/>
      <c r="E82" s="39"/>
      <c r="F82" s="3">
        <v>87.9</v>
      </c>
    </row>
    <row r="83" spans="1:6" x14ac:dyDescent="0.2">
      <c r="A83" s="12" t="s">
        <v>79</v>
      </c>
      <c r="B83" s="37"/>
      <c r="C83" s="38"/>
      <c r="D83" s="38"/>
      <c r="E83" s="39"/>
      <c r="F83" s="3">
        <v>95.9</v>
      </c>
    </row>
    <row r="84" spans="1:6" x14ac:dyDescent="0.2">
      <c r="A84" s="12">
        <v>160</v>
      </c>
      <c r="B84" s="37"/>
      <c r="C84" s="38"/>
      <c r="D84" s="38"/>
      <c r="E84" s="39"/>
      <c r="F84" s="3">
        <v>83.9</v>
      </c>
    </row>
    <row r="85" spans="1:6" x14ac:dyDescent="0.2">
      <c r="A85" s="11" t="s">
        <v>80</v>
      </c>
      <c r="B85" s="37"/>
      <c r="C85" s="38"/>
      <c r="D85" s="38"/>
      <c r="E85" s="39"/>
      <c r="F85" s="3">
        <v>90.9</v>
      </c>
    </row>
    <row r="86" spans="1:6" x14ac:dyDescent="0.2">
      <c r="A86" s="11">
        <v>161</v>
      </c>
      <c r="B86" s="37"/>
      <c r="C86" s="38"/>
      <c r="D86" s="38"/>
      <c r="E86" s="39"/>
      <c r="F86" s="3">
        <v>91.9</v>
      </c>
    </row>
    <row r="87" spans="1:6" x14ac:dyDescent="0.2">
      <c r="A87" s="11" t="s">
        <v>81</v>
      </c>
      <c r="B87" s="37"/>
      <c r="C87" s="38"/>
      <c r="D87" s="38"/>
      <c r="E87" s="39"/>
      <c r="F87" s="3">
        <v>101.9</v>
      </c>
    </row>
    <row r="88" spans="1:6" x14ac:dyDescent="0.2">
      <c r="A88" s="11">
        <v>162</v>
      </c>
      <c r="B88" s="37"/>
      <c r="C88" s="38"/>
      <c r="D88" s="38"/>
      <c r="E88" s="39"/>
      <c r="F88" s="3">
        <v>56</v>
      </c>
    </row>
    <row r="89" spans="1:6" x14ac:dyDescent="0.2">
      <c r="A89" s="11">
        <v>163</v>
      </c>
      <c r="B89" s="37"/>
      <c r="C89" s="38"/>
      <c r="D89" s="38"/>
      <c r="E89" s="39"/>
      <c r="F89" s="3">
        <v>56</v>
      </c>
    </row>
    <row r="90" spans="1:6" x14ac:dyDescent="0.2">
      <c r="A90" s="11">
        <v>169</v>
      </c>
      <c r="B90" s="37"/>
      <c r="C90" s="38"/>
      <c r="D90" s="38"/>
      <c r="E90" s="39"/>
      <c r="F90" s="3">
        <v>93.9</v>
      </c>
    </row>
    <row r="91" spans="1:6" x14ac:dyDescent="0.2">
      <c r="A91" s="11" t="s">
        <v>165</v>
      </c>
      <c r="B91" s="37"/>
      <c r="C91" s="38"/>
      <c r="D91" s="38"/>
      <c r="E91" s="39"/>
      <c r="F91" s="3">
        <v>102.9</v>
      </c>
    </row>
    <row r="92" spans="1:6" x14ac:dyDescent="0.2">
      <c r="A92" s="11">
        <v>171</v>
      </c>
      <c r="B92" s="37"/>
      <c r="C92" s="38"/>
      <c r="D92" s="38"/>
      <c r="E92" s="39"/>
      <c r="F92" s="6">
        <v>96.9</v>
      </c>
    </row>
    <row r="93" spans="1:6" x14ac:dyDescent="0.2">
      <c r="A93" s="11" t="s">
        <v>82</v>
      </c>
      <c r="B93" s="37"/>
      <c r="C93" s="38"/>
      <c r="D93" s="38"/>
      <c r="E93" s="39"/>
      <c r="F93" s="6">
        <v>106.9</v>
      </c>
    </row>
    <row r="94" spans="1:6" x14ac:dyDescent="0.2">
      <c r="A94" s="11">
        <v>172</v>
      </c>
      <c r="B94" s="37"/>
      <c r="C94" s="38"/>
      <c r="D94" s="38"/>
      <c r="E94" s="39"/>
      <c r="F94" s="3">
        <v>105.9</v>
      </c>
    </row>
    <row r="95" spans="1:6" x14ac:dyDescent="0.2">
      <c r="A95" s="11" t="s">
        <v>83</v>
      </c>
      <c r="B95" s="37"/>
      <c r="C95" s="38"/>
      <c r="D95" s="38"/>
      <c r="E95" s="39"/>
      <c r="F95" s="3">
        <v>112.9</v>
      </c>
    </row>
    <row r="96" spans="1:6" x14ac:dyDescent="0.2">
      <c r="A96" s="11">
        <v>174</v>
      </c>
      <c r="B96" s="37"/>
      <c r="C96" s="38"/>
      <c r="D96" s="38"/>
      <c r="E96" s="39"/>
      <c r="F96" s="3">
        <v>101.9</v>
      </c>
    </row>
    <row r="97" spans="1:6" x14ac:dyDescent="0.2">
      <c r="A97" s="11" t="s">
        <v>159</v>
      </c>
      <c r="B97" s="37"/>
      <c r="C97" s="38"/>
      <c r="D97" s="38"/>
      <c r="E97" s="39"/>
      <c r="F97" s="3">
        <v>110.9</v>
      </c>
    </row>
    <row r="98" spans="1:6" x14ac:dyDescent="0.2">
      <c r="A98" s="11">
        <v>175</v>
      </c>
      <c r="B98" s="37"/>
      <c r="C98" s="38"/>
      <c r="D98" s="38"/>
      <c r="E98" s="39"/>
      <c r="F98" s="3">
        <v>91.9</v>
      </c>
    </row>
    <row r="99" spans="1:6" x14ac:dyDescent="0.2">
      <c r="A99" s="11" t="s">
        <v>160</v>
      </c>
      <c r="B99" s="37"/>
      <c r="C99" s="38"/>
      <c r="D99" s="38"/>
      <c r="E99" s="39"/>
      <c r="F99" s="3">
        <v>101.9</v>
      </c>
    </row>
    <row r="100" spans="1:6" x14ac:dyDescent="0.2">
      <c r="A100" s="11">
        <v>179</v>
      </c>
      <c r="B100" s="37"/>
      <c r="C100" s="38"/>
      <c r="D100" s="38"/>
      <c r="E100" s="39"/>
      <c r="F100" s="3">
        <v>60.9</v>
      </c>
    </row>
    <row r="101" spans="1:6" x14ac:dyDescent="0.2">
      <c r="A101" s="11">
        <v>180</v>
      </c>
      <c r="B101" s="37"/>
      <c r="C101" s="38"/>
      <c r="D101" s="38"/>
      <c r="E101" s="39"/>
      <c r="F101" s="3">
        <v>93.9</v>
      </c>
    </row>
    <row r="102" spans="1:6" x14ac:dyDescent="0.2">
      <c r="A102" s="11" t="s">
        <v>84</v>
      </c>
      <c r="B102" s="37"/>
      <c r="C102" s="38"/>
      <c r="D102" s="38"/>
      <c r="E102" s="39"/>
      <c r="F102" s="3">
        <v>98.9</v>
      </c>
    </row>
    <row r="103" spans="1:6" x14ac:dyDescent="0.2">
      <c r="A103" s="11">
        <v>199</v>
      </c>
      <c r="B103" s="37"/>
      <c r="C103" s="38"/>
      <c r="D103" s="38"/>
      <c r="E103" s="39"/>
      <c r="F103" s="18">
        <v>89</v>
      </c>
    </row>
    <row r="104" spans="1:6" x14ac:dyDescent="0.2">
      <c r="A104" s="11" t="s">
        <v>85</v>
      </c>
      <c r="B104" s="37"/>
      <c r="C104" s="38"/>
      <c r="D104" s="38"/>
      <c r="E104" s="39"/>
      <c r="F104" s="3">
        <v>96.9</v>
      </c>
    </row>
    <row r="105" spans="1:6" x14ac:dyDescent="0.2">
      <c r="A105" s="11">
        <v>200</v>
      </c>
      <c r="B105" s="37"/>
      <c r="C105" s="38"/>
      <c r="D105" s="38"/>
      <c r="E105" s="39"/>
      <c r="F105" s="3">
        <v>105.9</v>
      </c>
    </row>
    <row r="106" spans="1:6" x14ac:dyDescent="0.2">
      <c r="A106" s="11" t="s">
        <v>86</v>
      </c>
      <c r="B106" s="37"/>
      <c r="C106" s="38"/>
      <c r="D106" s="38"/>
      <c r="E106" s="39"/>
      <c r="F106" s="3">
        <v>116.9</v>
      </c>
    </row>
    <row r="107" spans="1:6" x14ac:dyDescent="0.2">
      <c r="A107" s="11">
        <v>201</v>
      </c>
      <c r="B107" s="37"/>
      <c r="C107" s="38"/>
      <c r="D107" s="38"/>
      <c r="E107" s="39"/>
      <c r="F107" s="3">
        <v>60.9</v>
      </c>
    </row>
    <row r="108" spans="1:6" x14ac:dyDescent="0.2">
      <c r="A108" s="11">
        <v>202</v>
      </c>
      <c r="B108" s="37"/>
      <c r="C108" s="38"/>
      <c r="D108" s="38"/>
      <c r="E108" s="39"/>
      <c r="F108" s="3">
        <v>77.900000000000006</v>
      </c>
    </row>
    <row r="109" spans="1:6" x14ac:dyDescent="0.2">
      <c r="A109" s="11">
        <v>203</v>
      </c>
      <c r="B109" s="37"/>
      <c r="C109" s="38"/>
      <c r="D109" s="38"/>
      <c r="E109" s="39"/>
      <c r="F109" s="18">
        <v>26.9</v>
      </c>
    </row>
    <row r="110" spans="1:6" x14ac:dyDescent="0.2">
      <c r="A110" s="11">
        <v>204</v>
      </c>
      <c r="B110" s="37"/>
      <c r="C110" s="38"/>
      <c r="D110" s="38"/>
      <c r="E110" s="39"/>
      <c r="F110" s="6">
        <v>78</v>
      </c>
    </row>
    <row r="111" spans="1:6" x14ac:dyDescent="0.2">
      <c r="A111" s="11">
        <v>216</v>
      </c>
      <c r="B111" s="37"/>
      <c r="C111" s="38"/>
      <c r="D111" s="38"/>
      <c r="E111" s="39"/>
      <c r="F111" s="3">
        <v>36.9</v>
      </c>
    </row>
    <row r="112" spans="1:6" x14ac:dyDescent="0.2">
      <c r="A112" s="12" t="s">
        <v>87</v>
      </c>
      <c r="B112" s="37"/>
      <c r="C112" s="38"/>
      <c r="D112" s="38"/>
      <c r="E112" s="39"/>
      <c r="F112" s="3">
        <v>39.9</v>
      </c>
    </row>
    <row r="113" spans="1:6" x14ac:dyDescent="0.2">
      <c r="A113" s="11">
        <v>219</v>
      </c>
      <c r="B113" s="37" t="s">
        <v>156</v>
      </c>
      <c r="C113" s="38"/>
      <c r="D113" s="38"/>
      <c r="E113" s="39"/>
      <c r="F113" s="3">
        <v>19.899999999999999</v>
      </c>
    </row>
    <row r="114" spans="1:6" x14ac:dyDescent="0.2">
      <c r="A114" s="11">
        <v>220</v>
      </c>
      <c r="B114" s="37"/>
      <c r="C114" s="38"/>
      <c r="D114" s="38"/>
      <c r="E114" s="39"/>
      <c r="F114" s="3">
        <v>67</v>
      </c>
    </row>
    <row r="115" spans="1:6" x14ac:dyDescent="0.2">
      <c r="A115" s="11" t="s">
        <v>161</v>
      </c>
      <c r="B115" s="37"/>
      <c r="C115" s="38"/>
      <c r="D115" s="38"/>
      <c r="E115" s="39"/>
      <c r="F115" s="3">
        <v>72.900000000000006</v>
      </c>
    </row>
    <row r="116" spans="1:6" x14ac:dyDescent="0.2">
      <c r="A116" s="11">
        <v>221</v>
      </c>
      <c r="B116" s="37"/>
      <c r="C116" s="38"/>
      <c r="D116" s="38"/>
      <c r="E116" s="39"/>
      <c r="F116" s="3">
        <v>67</v>
      </c>
    </row>
    <row r="117" spans="1:6" x14ac:dyDescent="0.2">
      <c r="A117" s="11" t="s">
        <v>162</v>
      </c>
      <c r="B117" s="37"/>
      <c r="C117" s="38"/>
      <c r="D117" s="38"/>
      <c r="E117" s="39"/>
      <c r="F117" s="3">
        <v>72.900000000000006</v>
      </c>
    </row>
    <row r="118" spans="1:6" x14ac:dyDescent="0.2">
      <c r="A118" s="11">
        <v>222</v>
      </c>
      <c r="B118" s="37"/>
      <c r="C118" s="38"/>
      <c r="D118" s="38"/>
      <c r="E118" s="39"/>
      <c r="F118" s="3">
        <v>60.9</v>
      </c>
    </row>
    <row r="119" spans="1:6" x14ac:dyDescent="0.2">
      <c r="A119" s="11" t="s">
        <v>163</v>
      </c>
      <c r="B119" s="37"/>
      <c r="C119" s="38"/>
      <c r="D119" s="38"/>
      <c r="E119" s="39"/>
      <c r="F119" s="3">
        <v>67</v>
      </c>
    </row>
    <row r="120" spans="1:6" x14ac:dyDescent="0.2">
      <c r="A120" s="11">
        <v>223</v>
      </c>
      <c r="B120" s="37"/>
      <c r="C120" s="38"/>
      <c r="D120" s="38"/>
      <c r="E120" s="39"/>
      <c r="F120" s="3">
        <v>60.9</v>
      </c>
    </row>
    <row r="121" spans="1:6" x14ac:dyDescent="0.2">
      <c r="A121" s="11" t="s">
        <v>164</v>
      </c>
      <c r="B121" s="37"/>
      <c r="C121" s="38"/>
      <c r="D121" s="38"/>
      <c r="E121" s="39"/>
      <c r="F121" s="3">
        <v>67</v>
      </c>
    </row>
    <row r="122" spans="1:6" x14ac:dyDescent="0.2">
      <c r="A122" s="11">
        <v>239</v>
      </c>
      <c r="B122" s="37"/>
      <c r="C122" s="38"/>
      <c r="D122" s="38"/>
      <c r="E122" s="39"/>
      <c r="F122" s="3">
        <v>24.9</v>
      </c>
    </row>
    <row r="123" spans="1:6" x14ac:dyDescent="0.2">
      <c r="A123" s="11">
        <v>240</v>
      </c>
      <c r="B123" s="37"/>
      <c r="C123" s="38"/>
      <c r="D123" s="38"/>
      <c r="E123" s="39"/>
      <c r="F123" s="3">
        <v>58.9</v>
      </c>
    </row>
    <row r="124" spans="1:6" x14ac:dyDescent="0.2">
      <c r="A124" s="11" t="s">
        <v>88</v>
      </c>
      <c r="B124" s="37"/>
      <c r="C124" s="38"/>
      <c r="D124" s="38"/>
      <c r="E124" s="39"/>
      <c r="F124" s="3">
        <v>64.900000000000006</v>
      </c>
    </row>
    <row r="125" spans="1:6" x14ac:dyDescent="0.2">
      <c r="A125" s="11">
        <v>242</v>
      </c>
      <c r="B125" s="37"/>
      <c r="C125" s="38"/>
      <c r="D125" s="38"/>
      <c r="E125" s="39"/>
      <c r="F125" s="18">
        <v>39.9</v>
      </c>
    </row>
    <row r="126" spans="1:6" x14ac:dyDescent="0.2">
      <c r="A126" s="12">
        <v>245</v>
      </c>
      <c r="B126" s="37"/>
      <c r="C126" s="38"/>
      <c r="D126" s="38"/>
      <c r="E126" s="39"/>
      <c r="F126" s="6">
        <v>53.9</v>
      </c>
    </row>
    <row r="127" spans="1:6" x14ac:dyDescent="0.2">
      <c r="A127" s="11" t="s">
        <v>89</v>
      </c>
      <c r="B127" s="37"/>
      <c r="C127" s="38"/>
      <c r="D127" s="38"/>
      <c r="E127" s="39"/>
      <c r="F127" s="3">
        <v>58.9</v>
      </c>
    </row>
    <row r="128" spans="1:6" x14ac:dyDescent="0.2">
      <c r="A128" s="11">
        <v>250</v>
      </c>
      <c r="B128" s="37"/>
      <c r="C128" s="38"/>
      <c r="D128" s="38"/>
      <c r="E128" s="39"/>
      <c r="F128" s="18">
        <v>53.9</v>
      </c>
    </row>
    <row r="129" spans="1:6" x14ac:dyDescent="0.2">
      <c r="A129" s="11">
        <v>260</v>
      </c>
      <c r="B129" s="37"/>
      <c r="C129" s="38"/>
      <c r="D129" s="38"/>
      <c r="E129" s="39"/>
      <c r="F129" s="18">
        <v>58.9</v>
      </c>
    </row>
    <row r="130" spans="1:6" x14ac:dyDescent="0.2">
      <c r="A130" s="11" t="s">
        <v>166</v>
      </c>
      <c r="B130" s="37"/>
      <c r="C130" s="38"/>
      <c r="D130" s="38"/>
      <c r="E130" s="39"/>
      <c r="F130" s="18">
        <v>64.900000000000006</v>
      </c>
    </row>
    <row r="131" spans="1:6" x14ac:dyDescent="0.2">
      <c r="A131" s="11">
        <v>262</v>
      </c>
      <c r="B131" s="37"/>
      <c r="C131" s="38"/>
      <c r="D131" s="38"/>
      <c r="E131" s="39"/>
      <c r="F131" s="18">
        <v>59.9</v>
      </c>
    </row>
    <row r="132" spans="1:6" x14ac:dyDescent="0.2">
      <c r="A132" s="11">
        <v>263</v>
      </c>
      <c r="B132" s="37"/>
      <c r="C132" s="38"/>
      <c r="D132" s="38"/>
      <c r="E132" s="39"/>
      <c r="F132" s="18">
        <v>59.9</v>
      </c>
    </row>
    <row r="133" spans="1:6" x14ac:dyDescent="0.2">
      <c r="A133" s="11">
        <v>274</v>
      </c>
      <c r="B133" s="37"/>
      <c r="C133" s="38"/>
      <c r="D133" s="38"/>
      <c r="E133" s="39"/>
      <c r="F133" s="18">
        <v>63.9</v>
      </c>
    </row>
    <row r="134" spans="1:6" x14ac:dyDescent="0.2">
      <c r="A134" s="11">
        <v>275</v>
      </c>
      <c r="B134" s="37"/>
      <c r="C134" s="38"/>
      <c r="D134" s="38"/>
      <c r="E134" s="39"/>
      <c r="F134" s="18">
        <v>63.9</v>
      </c>
    </row>
    <row r="135" spans="1:6" x14ac:dyDescent="0.2">
      <c r="A135" s="11">
        <v>300</v>
      </c>
      <c r="B135" s="37"/>
      <c r="C135" s="38"/>
      <c r="D135" s="38"/>
      <c r="E135" s="39"/>
      <c r="F135" s="3">
        <v>40.9</v>
      </c>
    </row>
    <row r="136" spans="1:6" x14ac:dyDescent="0.2">
      <c r="A136" s="11">
        <v>301</v>
      </c>
      <c r="B136" s="37"/>
      <c r="C136" s="38"/>
      <c r="D136" s="38"/>
      <c r="E136" s="39"/>
      <c r="F136" s="3">
        <v>54.9</v>
      </c>
    </row>
    <row r="137" spans="1:6" x14ac:dyDescent="0.2">
      <c r="A137" s="11" t="s">
        <v>158</v>
      </c>
      <c r="B137" s="37"/>
      <c r="C137" s="38"/>
      <c r="D137" s="38"/>
      <c r="E137" s="39"/>
      <c r="F137" s="3">
        <v>59.9</v>
      </c>
    </row>
    <row r="138" spans="1:6" x14ac:dyDescent="0.2">
      <c r="A138" s="11">
        <v>303</v>
      </c>
      <c r="B138" s="37"/>
      <c r="C138" s="38"/>
      <c r="D138" s="38"/>
      <c r="E138" s="39"/>
      <c r="F138" s="18">
        <v>39.9</v>
      </c>
    </row>
    <row r="139" spans="1:6" x14ac:dyDescent="0.2">
      <c r="A139" s="11">
        <v>304</v>
      </c>
      <c r="B139" s="37"/>
      <c r="C139" s="38"/>
      <c r="D139" s="38"/>
      <c r="E139" s="39"/>
      <c r="F139" s="18">
        <v>50.9</v>
      </c>
    </row>
    <row r="140" spans="1:6" x14ac:dyDescent="0.2">
      <c r="A140" s="11" t="s">
        <v>169</v>
      </c>
      <c r="B140" s="37"/>
      <c r="C140" s="38"/>
      <c r="D140" s="38"/>
      <c r="E140" s="39"/>
      <c r="F140" s="18">
        <v>54.9</v>
      </c>
    </row>
    <row r="141" spans="1:6" x14ac:dyDescent="0.2">
      <c r="A141" s="11">
        <v>305</v>
      </c>
      <c r="B141" s="37"/>
      <c r="C141" s="38"/>
      <c r="D141" s="38"/>
      <c r="E141" s="39"/>
      <c r="F141" s="18">
        <v>36.9</v>
      </c>
    </row>
    <row r="142" spans="1:6" x14ac:dyDescent="0.2">
      <c r="A142" s="11">
        <v>306</v>
      </c>
      <c r="B142" s="37"/>
      <c r="C142" s="38"/>
      <c r="D142" s="38"/>
      <c r="E142" s="39"/>
      <c r="F142" s="18">
        <v>30.9</v>
      </c>
    </row>
    <row r="143" spans="1:6" x14ac:dyDescent="0.2">
      <c r="A143" s="11">
        <v>307</v>
      </c>
      <c r="B143" s="37"/>
      <c r="C143" s="38"/>
      <c r="D143" s="38"/>
      <c r="E143" s="39"/>
      <c r="F143" s="18">
        <v>40.9</v>
      </c>
    </row>
    <row r="144" spans="1:6" x14ac:dyDescent="0.2">
      <c r="A144" s="11" t="s">
        <v>170</v>
      </c>
      <c r="B144" s="37"/>
      <c r="C144" s="38"/>
      <c r="D144" s="38"/>
      <c r="E144" s="39"/>
      <c r="F144" s="18">
        <v>43.9</v>
      </c>
    </row>
    <row r="145" spans="1:6" x14ac:dyDescent="0.2">
      <c r="A145" s="11">
        <v>308</v>
      </c>
      <c r="B145" s="37"/>
      <c r="C145" s="38"/>
      <c r="D145" s="38"/>
      <c r="E145" s="39"/>
      <c r="F145" s="18">
        <v>36.9</v>
      </c>
    </row>
    <row r="146" spans="1:6" x14ac:dyDescent="0.2">
      <c r="A146" s="11">
        <v>309</v>
      </c>
      <c r="B146" s="37"/>
      <c r="C146" s="38"/>
      <c r="D146" s="38"/>
      <c r="E146" s="39"/>
      <c r="F146" s="18">
        <v>30.9</v>
      </c>
    </row>
    <row r="147" spans="1:6" x14ac:dyDescent="0.2">
      <c r="A147" s="11">
        <v>310</v>
      </c>
      <c r="B147" s="37"/>
      <c r="C147" s="38"/>
      <c r="D147" s="38"/>
      <c r="E147" s="39"/>
      <c r="F147" s="18">
        <v>36.9</v>
      </c>
    </row>
    <row r="148" spans="1:6" x14ac:dyDescent="0.2">
      <c r="A148" s="11" t="s">
        <v>90</v>
      </c>
      <c r="B148" s="37"/>
      <c r="C148" s="38"/>
      <c r="D148" s="38"/>
      <c r="E148" s="39"/>
      <c r="F148" s="18">
        <v>40.9</v>
      </c>
    </row>
    <row r="149" spans="1:6" x14ac:dyDescent="0.2">
      <c r="A149" s="12">
        <v>316</v>
      </c>
      <c r="B149" s="37"/>
      <c r="C149" s="38"/>
      <c r="D149" s="38"/>
      <c r="E149" s="39"/>
      <c r="F149" s="18">
        <v>36.9</v>
      </c>
    </row>
    <row r="150" spans="1:6" x14ac:dyDescent="0.2">
      <c r="A150" s="12" t="s">
        <v>91</v>
      </c>
      <c r="B150" s="37"/>
      <c r="C150" s="38"/>
      <c r="D150" s="38"/>
      <c r="E150" s="39"/>
      <c r="F150" s="18">
        <v>39.9</v>
      </c>
    </row>
    <row r="151" spans="1:6" x14ac:dyDescent="0.2">
      <c r="A151" s="12">
        <v>321</v>
      </c>
      <c r="B151" s="37"/>
      <c r="C151" s="38"/>
      <c r="D151" s="38"/>
      <c r="E151" s="39"/>
      <c r="F151" s="3">
        <v>43.9</v>
      </c>
    </row>
    <row r="152" spans="1:6" x14ac:dyDescent="0.2">
      <c r="A152" s="11" t="s">
        <v>93</v>
      </c>
      <c r="B152" s="37"/>
      <c r="C152" s="38"/>
      <c r="D152" s="38"/>
      <c r="E152" s="39"/>
      <c r="F152" s="18">
        <v>46.9</v>
      </c>
    </row>
    <row r="153" spans="1:6" x14ac:dyDescent="0.2">
      <c r="A153" s="11">
        <v>325</v>
      </c>
      <c r="B153" s="37"/>
      <c r="C153" s="38"/>
      <c r="D153" s="38"/>
      <c r="E153" s="39"/>
      <c r="F153" s="18">
        <v>43.9</v>
      </c>
    </row>
    <row r="154" spans="1:6" x14ac:dyDescent="0.2">
      <c r="A154" s="11" t="s">
        <v>94</v>
      </c>
      <c r="B154" s="37"/>
      <c r="C154" s="38"/>
      <c r="D154" s="38"/>
      <c r="E154" s="39"/>
      <c r="F154" s="18">
        <v>46.9</v>
      </c>
    </row>
    <row r="155" spans="1:6" x14ac:dyDescent="0.2">
      <c r="A155" s="11">
        <v>327</v>
      </c>
      <c r="B155" s="37"/>
      <c r="C155" s="38"/>
      <c r="D155" s="38"/>
      <c r="E155" s="39"/>
      <c r="F155" s="18">
        <v>47.9</v>
      </c>
    </row>
    <row r="156" spans="1:6" x14ac:dyDescent="0.2">
      <c r="A156" s="12" t="s">
        <v>95</v>
      </c>
      <c r="B156" s="37"/>
      <c r="C156" s="38"/>
      <c r="D156" s="38"/>
      <c r="E156" s="39"/>
      <c r="F156" s="18">
        <v>52.9</v>
      </c>
    </row>
    <row r="157" spans="1:6" x14ac:dyDescent="0.2">
      <c r="A157" s="12">
        <v>328</v>
      </c>
      <c r="B157" s="37"/>
      <c r="C157" s="38"/>
      <c r="D157" s="38"/>
      <c r="E157" s="39"/>
      <c r="F157" s="18">
        <v>52.9</v>
      </c>
    </row>
    <row r="158" spans="1:6" x14ac:dyDescent="0.2">
      <c r="A158" s="12" t="s">
        <v>96</v>
      </c>
      <c r="B158" s="37"/>
      <c r="C158" s="38"/>
      <c r="D158" s="38"/>
      <c r="E158" s="39"/>
      <c r="F158" s="18">
        <v>56</v>
      </c>
    </row>
    <row r="159" spans="1:6" x14ac:dyDescent="0.2">
      <c r="A159" s="12">
        <v>329</v>
      </c>
      <c r="B159" s="37"/>
      <c r="C159" s="38"/>
      <c r="D159" s="38"/>
      <c r="E159" s="39"/>
      <c r="F159" s="18">
        <v>53.9</v>
      </c>
    </row>
    <row r="160" spans="1:6" x14ac:dyDescent="0.2">
      <c r="A160" s="12" t="s">
        <v>97</v>
      </c>
      <c r="B160" s="37"/>
      <c r="C160" s="38"/>
      <c r="D160" s="38"/>
      <c r="E160" s="39"/>
      <c r="F160" s="18">
        <v>58.9</v>
      </c>
    </row>
    <row r="161" spans="1:6" x14ac:dyDescent="0.2">
      <c r="A161" s="12">
        <v>330</v>
      </c>
      <c r="B161" s="37"/>
      <c r="C161" s="38"/>
      <c r="D161" s="38"/>
      <c r="E161" s="39"/>
      <c r="F161" s="18">
        <v>58.9</v>
      </c>
    </row>
    <row r="162" spans="1:6" x14ac:dyDescent="0.2">
      <c r="A162" s="12" t="s">
        <v>98</v>
      </c>
      <c r="B162" s="37"/>
      <c r="C162" s="38"/>
      <c r="D162" s="38"/>
      <c r="E162" s="39"/>
      <c r="F162" s="6">
        <v>64.900000000000006</v>
      </c>
    </row>
    <row r="163" spans="1:6" x14ac:dyDescent="0.2">
      <c r="A163" s="12">
        <v>350</v>
      </c>
      <c r="B163" s="37"/>
      <c r="C163" s="38"/>
      <c r="D163" s="38"/>
      <c r="E163" s="39"/>
      <c r="F163" s="3">
        <v>49.9</v>
      </c>
    </row>
    <row r="164" spans="1:6" x14ac:dyDescent="0.2">
      <c r="A164" s="11" t="s">
        <v>99</v>
      </c>
      <c r="B164" s="37"/>
      <c r="C164" s="38"/>
      <c r="D164" s="38"/>
      <c r="E164" s="39"/>
      <c r="F164" s="3">
        <v>54.9</v>
      </c>
    </row>
    <row r="165" spans="1:6" x14ac:dyDescent="0.2">
      <c r="A165" s="11">
        <v>352</v>
      </c>
      <c r="B165" s="37"/>
      <c r="C165" s="38"/>
      <c r="D165" s="38"/>
      <c r="E165" s="39"/>
      <c r="F165" s="3">
        <v>52.9</v>
      </c>
    </row>
    <row r="166" spans="1:6" x14ac:dyDescent="0.2">
      <c r="A166" s="11">
        <v>354</v>
      </c>
      <c r="B166" s="37"/>
      <c r="C166" s="38"/>
      <c r="D166" s="38"/>
      <c r="E166" s="39"/>
      <c r="F166" s="3">
        <v>46.9</v>
      </c>
    </row>
    <row r="167" spans="1:6" x14ac:dyDescent="0.2">
      <c r="A167" s="11" t="s">
        <v>171</v>
      </c>
      <c r="B167" s="37"/>
      <c r="C167" s="38"/>
      <c r="D167" s="38"/>
      <c r="E167" s="39"/>
      <c r="F167" s="3">
        <v>50.9</v>
      </c>
    </row>
    <row r="168" spans="1:6" x14ac:dyDescent="0.2">
      <c r="A168" s="11">
        <v>355</v>
      </c>
      <c r="B168" s="37"/>
      <c r="C168" s="38"/>
      <c r="D168" s="38"/>
      <c r="E168" s="39"/>
      <c r="F168" s="3">
        <v>46.9</v>
      </c>
    </row>
    <row r="169" spans="1:6" x14ac:dyDescent="0.2">
      <c r="A169" s="11" t="s">
        <v>172</v>
      </c>
      <c r="B169" s="37"/>
      <c r="C169" s="38"/>
      <c r="D169" s="38"/>
      <c r="E169" s="39"/>
      <c r="F169" s="3">
        <v>51.9</v>
      </c>
    </row>
    <row r="170" spans="1:6" x14ac:dyDescent="0.2">
      <c r="A170" s="11">
        <v>358</v>
      </c>
      <c r="B170" s="37"/>
      <c r="C170" s="38"/>
      <c r="D170" s="38"/>
      <c r="E170" s="39"/>
      <c r="F170" s="3">
        <v>41.9</v>
      </c>
    </row>
    <row r="171" spans="1:6" x14ac:dyDescent="0.2">
      <c r="A171" s="11" t="s">
        <v>173</v>
      </c>
      <c r="B171" s="37"/>
      <c r="C171" s="38"/>
      <c r="D171" s="38"/>
      <c r="E171" s="39"/>
      <c r="F171" s="3">
        <v>45</v>
      </c>
    </row>
    <row r="172" spans="1:6" x14ac:dyDescent="0.2">
      <c r="A172" s="11">
        <v>359</v>
      </c>
      <c r="B172" s="37"/>
      <c r="C172" s="38"/>
      <c r="D172" s="38"/>
      <c r="E172" s="39"/>
      <c r="F172" s="3">
        <v>41.9</v>
      </c>
    </row>
    <row r="173" spans="1:6" x14ac:dyDescent="0.2">
      <c r="A173" s="11" t="s">
        <v>193</v>
      </c>
      <c r="B173" s="37"/>
      <c r="C173" s="38"/>
      <c r="D173" s="38"/>
      <c r="E173" s="39"/>
      <c r="F173" s="3">
        <v>45</v>
      </c>
    </row>
    <row r="174" spans="1:6" x14ac:dyDescent="0.2">
      <c r="A174" s="12">
        <v>380</v>
      </c>
      <c r="B174" s="37"/>
      <c r="C174" s="38"/>
      <c r="D174" s="38"/>
      <c r="E174" s="39"/>
      <c r="F174" s="3">
        <v>32.9</v>
      </c>
    </row>
    <row r="175" spans="1:6" x14ac:dyDescent="0.2">
      <c r="A175" s="12" t="s">
        <v>101</v>
      </c>
      <c r="B175" s="37"/>
      <c r="C175" s="38"/>
      <c r="D175" s="38"/>
      <c r="E175" s="39"/>
      <c r="F175" s="3">
        <v>36.9</v>
      </c>
    </row>
    <row r="176" spans="1:6" x14ac:dyDescent="0.2">
      <c r="A176" s="12">
        <v>390</v>
      </c>
      <c r="B176" s="37"/>
      <c r="C176" s="38"/>
      <c r="D176" s="38"/>
      <c r="E176" s="39"/>
      <c r="F176" s="18">
        <v>40.9</v>
      </c>
    </row>
    <row r="177" spans="1:6" x14ac:dyDescent="0.2">
      <c r="A177" s="12" t="s">
        <v>102</v>
      </c>
      <c r="B177" s="37"/>
      <c r="C177" s="38"/>
      <c r="D177" s="38"/>
      <c r="E177" s="39"/>
      <c r="F177" s="18">
        <v>43.9</v>
      </c>
    </row>
    <row r="178" spans="1:6" x14ac:dyDescent="0.2">
      <c r="A178" s="12">
        <v>395</v>
      </c>
      <c r="B178" s="37"/>
      <c r="C178" s="38"/>
      <c r="D178" s="38"/>
      <c r="E178" s="39"/>
      <c r="F178" s="6">
        <v>40.9</v>
      </c>
    </row>
    <row r="179" spans="1:6" x14ac:dyDescent="0.2">
      <c r="A179" s="12" t="s">
        <v>103</v>
      </c>
      <c r="B179" s="37"/>
      <c r="C179" s="38"/>
      <c r="D179" s="38"/>
      <c r="E179" s="39"/>
      <c r="F179" s="3">
        <v>43.9</v>
      </c>
    </row>
    <row r="180" spans="1:6" x14ac:dyDescent="0.2">
      <c r="A180" s="11">
        <v>402</v>
      </c>
      <c r="B180" s="37"/>
      <c r="C180" s="38"/>
      <c r="D180" s="38"/>
      <c r="E180" s="39"/>
      <c r="F180" s="3">
        <v>54.9</v>
      </c>
    </row>
    <row r="181" spans="1:6" x14ac:dyDescent="0.2">
      <c r="A181" s="11" t="s">
        <v>194</v>
      </c>
      <c r="B181" s="37"/>
      <c r="C181" s="38"/>
      <c r="D181" s="38"/>
      <c r="E181" s="39"/>
      <c r="F181" s="6">
        <v>58.9</v>
      </c>
    </row>
    <row r="182" spans="1:6" x14ac:dyDescent="0.2">
      <c r="A182" s="12">
        <v>403</v>
      </c>
      <c r="B182" s="37"/>
      <c r="C182" s="38"/>
      <c r="D182" s="38"/>
      <c r="E182" s="39"/>
      <c r="F182" s="3">
        <v>50.9</v>
      </c>
    </row>
    <row r="183" spans="1:6" x14ac:dyDescent="0.2">
      <c r="A183" s="11">
        <v>404</v>
      </c>
      <c r="B183" s="37"/>
      <c r="C183" s="38"/>
      <c r="D183" s="38"/>
      <c r="E183" s="39"/>
      <c r="F183" s="18">
        <v>40.9</v>
      </c>
    </row>
    <row r="184" spans="1:6" x14ac:dyDescent="0.2">
      <c r="A184" s="11">
        <v>407</v>
      </c>
      <c r="B184" s="37"/>
      <c r="C184" s="38"/>
      <c r="D184" s="38"/>
      <c r="E184" s="39"/>
      <c r="F184" s="18">
        <v>32.9</v>
      </c>
    </row>
    <row r="185" spans="1:6" x14ac:dyDescent="0.2">
      <c r="A185" s="11">
        <v>429</v>
      </c>
      <c r="B185" s="37"/>
      <c r="C185" s="38"/>
      <c r="D185" s="38"/>
      <c r="E185" s="39"/>
      <c r="F185" s="6">
        <v>58.9</v>
      </c>
    </row>
    <row r="186" spans="1:6" x14ac:dyDescent="0.2">
      <c r="A186" s="11" t="s">
        <v>106</v>
      </c>
      <c r="B186" s="37"/>
      <c r="C186" s="38"/>
      <c r="D186" s="38"/>
      <c r="E186" s="39"/>
      <c r="F186" s="3">
        <v>63.9</v>
      </c>
    </row>
    <row r="187" spans="1:6" x14ac:dyDescent="0.2">
      <c r="A187" s="11">
        <v>430</v>
      </c>
      <c r="B187" s="37"/>
      <c r="C187" s="38"/>
      <c r="D187" s="38"/>
      <c r="E187" s="39"/>
      <c r="F187" s="18">
        <v>60.9</v>
      </c>
    </row>
    <row r="188" spans="1:6" x14ac:dyDescent="0.2">
      <c r="A188" s="11" t="s">
        <v>107</v>
      </c>
      <c r="B188" s="37"/>
      <c r="C188" s="38"/>
      <c r="D188" s="38"/>
      <c r="E188" s="39"/>
      <c r="F188" s="3">
        <v>67</v>
      </c>
    </row>
    <row r="189" spans="1:6" x14ac:dyDescent="0.2">
      <c r="A189" s="11">
        <v>499</v>
      </c>
      <c r="B189" s="37"/>
      <c r="C189" s="38"/>
      <c r="D189" s="38"/>
      <c r="E189" s="39"/>
      <c r="F189" s="18">
        <v>45.9</v>
      </c>
    </row>
    <row r="190" spans="1:6" x14ac:dyDescent="0.2">
      <c r="A190" s="11" t="s">
        <v>109</v>
      </c>
      <c r="B190" s="37"/>
      <c r="C190" s="38"/>
      <c r="D190" s="38"/>
      <c r="E190" s="39"/>
      <c r="F190" s="6">
        <v>49.9</v>
      </c>
    </row>
    <row r="191" spans="1:6" x14ac:dyDescent="0.2">
      <c r="A191" s="11">
        <v>500</v>
      </c>
      <c r="B191" s="37"/>
      <c r="C191" s="38"/>
      <c r="D191" s="38"/>
      <c r="E191" s="39"/>
      <c r="F191" s="3">
        <v>29.9</v>
      </c>
    </row>
    <row r="192" spans="1:6" x14ac:dyDescent="0.2">
      <c r="A192" s="12" t="s">
        <v>110</v>
      </c>
      <c r="B192" s="37"/>
      <c r="C192" s="38"/>
      <c r="D192" s="38"/>
      <c r="E192" s="39"/>
      <c r="F192" s="6">
        <v>32.9</v>
      </c>
    </row>
    <row r="193" spans="1:6" x14ac:dyDescent="0.2">
      <c r="A193" s="11">
        <v>501</v>
      </c>
      <c r="B193" s="37"/>
      <c r="C193" s="38"/>
      <c r="D193" s="38"/>
      <c r="E193" s="39"/>
      <c r="F193" s="6">
        <v>39.9</v>
      </c>
    </row>
    <row r="194" spans="1:6" x14ac:dyDescent="0.2">
      <c r="A194" s="11" t="s">
        <v>174</v>
      </c>
      <c r="B194" s="37"/>
      <c r="C194" s="38"/>
      <c r="D194" s="38"/>
      <c r="E194" s="39"/>
      <c r="F194" s="3">
        <v>41.9</v>
      </c>
    </row>
    <row r="195" spans="1:6" x14ac:dyDescent="0.2">
      <c r="A195" s="11">
        <v>502</v>
      </c>
      <c r="B195" s="37"/>
      <c r="C195" s="38"/>
      <c r="D195" s="38"/>
      <c r="E195" s="39"/>
      <c r="F195" s="3">
        <v>34</v>
      </c>
    </row>
    <row r="196" spans="1:6" x14ac:dyDescent="0.2">
      <c r="A196" s="11" t="s">
        <v>111</v>
      </c>
      <c r="B196" s="37"/>
      <c r="C196" s="38"/>
      <c r="D196" s="38"/>
      <c r="E196" s="39"/>
      <c r="F196" s="3">
        <v>35.9</v>
      </c>
    </row>
    <row r="197" spans="1:6" x14ac:dyDescent="0.2">
      <c r="A197" s="11">
        <v>550</v>
      </c>
      <c r="B197" s="37"/>
      <c r="C197" s="38"/>
      <c r="D197" s="38"/>
      <c r="E197" s="39"/>
      <c r="F197" s="3">
        <v>19.899999999999999</v>
      </c>
    </row>
    <row r="198" spans="1:6" x14ac:dyDescent="0.2">
      <c r="A198" s="11" t="s">
        <v>112</v>
      </c>
      <c r="B198" s="37"/>
      <c r="C198" s="38"/>
      <c r="D198" s="38"/>
      <c r="E198" s="39"/>
      <c r="F198" s="3">
        <v>21.9</v>
      </c>
    </row>
    <row r="199" spans="1:6" x14ac:dyDescent="0.2">
      <c r="A199" s="12">
        <v>570</v>
      </c>
      <c r="B199" s="37"/>
      <c r="C199" s="38"/>
      <c r="D199" s="38"/>
      <c r="E199" s="39"/>
      <c r="F199" s="3">
        <v>53.9</v>
      </c>
    </row>
    <row r="200" spans="1:6" x14ac:dyDescent="0.2">
      <c r="A200" s="12" t="s">
        <v>113</v>
      </c>
      <c r="B200" s="37"/>
      <c r="C200" s="38"/>
      <c r="D200" s="38"/>
      <c r="E200" s="39"/>
      <c r="F200" s="3">
        <v>58.9</v>
      </c>
    </row>
    <row r="201" spans="1:6" x14ac:dyDescent="0.2">
      <c r="A201" s="11">
        <v>582</v>
      </c>
      <c r="B201" s="37"/>
      <c r="C201" s="38"/>
      <c r="D201" s="38"/>
      <c r="E201" s="39"/>
      <c r="F201" s="3">
        <v>47.9</v>
      </c>
    </row>
    <row r="202" spans="1:6" x14ac:dyDescent="0.2">
      <c r="A202" s="11" t="s">
        <v>116</v>
      </c>
      <c r="B202" s="37"/>
      <c r="C202" s="38"/>
      <c r="D202" s="38"/>
      <c r="E202" s="39"/>
      <c r="F202" s="6">
        <v>53.9</v>
      </c>
    </row>
    <row r="203" spans="1:6" x14ac:dyDescent="0.2">
      <c r="A203" s="12">
        <v>590</v>
      </c>
      <c r="B203" s="37"/>
      <c r="C203" s="38"/>
      <c r="D203" s="38"/>
      <c r="E203" s="39"/>
      <c r="F203" s="3">
        <v>46.9</v>
      </c>
    </row>
    <row r="204" spans="1:6" x14ac:dyDescent="0.2">
      <c r="A204" s="11" t="s">
        <v>117</v>
      </c>
      <c r="B204" s="37"/>
      <c r="C204" s="38"/>
      <c r="D204" s="38"/>
      <c r="E204" s="39"/>
      <c r="F204" s="18">
        <v>50.9</v>
      </c>
    </row>
    <row r="205" spans="1:6" x14ac:dyDescent="0.2">
      <c r="A205" s="12">
        <v>595</v>
      </c>
      <c r="B205" s="37"/>
      <c r="C205" s="38"/>
      <c r="D205" s="38"/>
      <c r="E205" s="39"/>
      <c r="F205" s="3">
        <v>84.9</v>
      </c>
    </row>
    <row r="206" spans="1:6" x14ac:dyDescent="0.2">
      <c r="A206" s="11" t="s">
        <v>118</v>
      </c>
      <c r="B206" s="37"/>
      <c r="C206" s="38"/>
      <c r="D206" s="38"/>
      <c r="E206" s="39"/>
      <c r="F206" s="18">
        <v>91.9</v>
      </c>
    </row>
    <row r="207" spans="1:6" x14ac:dyDescent="0.2">
      <c r="A207" s="11">
        <v>601</v>
      </c>
      <c r="B207" s="37"/>
      <c r="C207" s="38"/>
      <c r="D207" s="38"/>
      <c r="E207" s="39"/>
      <c r="F207" s="3">
        <v>35.9</v>
      </c>
    </row>
    <row r="208" spans="1:6" x14ac:dyDescent="0.2">
      <c r="A208" s="11" t="s">
        <v>120</v>
      </c>
      <c r="B208" s="37"/>
      <c r="C208" s="38"/>
      <c r="D208" s="38"/>
      <c r="E208" s="39"/>
      <c r="F208" s="3">
        <v>40.9</v>
      </c>
    </row>
    <row r="209" spans="1:6" x14ac:dyDescent="0.2">
      <c r="A209" s="11">
        <v>605</v>
      </c>
      <c r="B209" s="37"/>
      <c r="C209" s="38"/>
      <c r="D209" s="38"/>
      <c r="E209" s="39"/>
      <c r="F209" s="3">
        <v>32.9</v>
      </c>
    </row>
    <row r="210" spans="1:6" x14ac:dyDescent="0.2">
      <c r="A210" s="11" t="s">
        <v>121</v>
      </c>
      <c r="B210" s="37"/>
      <c r="C210" s="38"/>
      <c r="D210" s="38"/>
      <c r="E210" s="39"/>
      <c r="F210" s="6">
        <v>34.9</v>
      </c>
    </row>
    <row r="211" spans="1:6" x14ac:dyDescent="0.2">
      <c r="A211" s="11">
        <v>640</v>
      </c>
      <c r="B211" s="37"/>
      <c r="C211" s="38"/>
      <c r="D211" s="38"/>
      <c r="E211" s="39"/>
      <c r="F211" s="3">
        <v>46.9</v>
      </c>
    </row>
    <row r="212" spans="1:6" x14ac:dyDescent="0.2">
      <c r="A212" s="11" t="s">
        <v>122</v>
      </c>
      <c r="B212" s="37"/>
      <c r="C212" s="38"/>
      <c r="D212" s="38"/>
      <c r="E212" s="39"/>
      <c r="F212" s="3">
        <v>50.9</v>
      </c>
    </row>
    <row r="213" spans="1:6" x14ac:dyDescent="0.2">
      <c r="A213" s="11">
        <v>650</v>
      </c>
      <c r="B213" s="37"/>
      <c r="C213" s="38"/>
      <c r="D213" s="38"/>
      <c r="E213" s="39"/>
      <c r="F213" s="3">
        <v>43.9</v>
      </c>
    </row>
    <row r="214" spans="1:6" x14ac:dyDescent="0.2">
      <c r="A214" s="11" t="s">
        <v>123</v>
      </c>
      <c r="B214" s="37"/>
      <c r="C214" s="38"/>
      <c r="D214" s="38"/>
      <c r="E214" s="39"/>
      <c r="F214" s="3">
        <v>47.9</v>
      </c>
    </row>
    <row r="215" spans="1:6" x14ac:dyDescent="0.2">
      <c r="A215" s="11">
        <v>690</v>
      </c>
      <c r="B215" s="37"/>
      <c r="C215" s="38"/>
      <c r="D215" s="38"/>
      <c r="E215" s="39"/>
      <c r="F215" s="3">
        <v>46.9</v>
      </c>
    </row>
    <row r="216" spans="1:6" x14ac:dyDescent="0.2">
      <c r="A216" s="11" t="s">
        <v>124</v>
      </c>
      <c r="B216" s="37"/>
      <c r="C216" s="38"/>
      <c r="D216" s="38"/>
      <c r="E216" s="39"/>
      <c r="F216" s="6">
        <v>51.9</v>
      </c>
    </row>
    <row r="217" spans="1:6" x14ac:dyDescent="0.2">
      <c r="A217" s="11">
        <v>702</v>
      </c>
      <c r="B217" s="37"/>
      <c r="C217" s="38"/>
      <c r="D217" s="38"/>
      <c r="E217" s="39"/>
      <c r="F217" s="3">
        <v>32.9</v>
      </c>
    </row>
    <row r="218" spans="1:6" x14ac:dyDescent="0.2">
      <c r="A218" s="11" t="s">
        <v>175</v>
      </c>
      <c r="B218" s="37"/>
      <c r="C218" s="38"/>
      <c r="D218" s="38"/>
      <c r="E218" s="39"/>
      <c r="F218" s="3">
        <v>36.9</v>
      </c>
    </row>
    <row r="219" spans="1:6" x14ac:dyDescent="0.2">
      <c r="A219" s="11">
        <v>703</v>
      </c>
      <c r="B219" s="37"/>
      <c r="C219" s="38"/>
      <c r="D219" s="38"/>
      <c r="E219" s="39"/>
      <c r="F219" s="3">
        <v>34.9</v>
      </c>
    </row>
    <row r="220" spans="1:6" x14ac:dyDescent="0.2">
      <c r="A220" s="11" t="s">
        <v>176</v>
      </c>
      <c r="B220" s="37"/>
      <c r="C220" s="38"/>
      <c r="D220" s="38"/>
      <c r="E220" s="39"/>
      <c r="F220" s="3">
        <v>47.9</v>
      </c>
    </row>
    <row r="221" spans="1:6" x14ac:dyDescent="0.2">
      <c r="A221" s="11">
        <v>704</v>
      </c>
      <c r="B221" s="37"/>
      <c r="C221" s="38"/>
      <c r="D221" s="38"/>
      <c r="E221" s="39"/>
      <c r="F221" s="3">
        <v>40.9</v>
      </c>
    </row>
    <row r="222" spans="1:6" x14ac:dyDescent="0.2">
      <c r="A222" s="11" t="s">
        <v>177</v>
      </c>
      <c r="B222" s="37"/>
      <c r="C222" s="38"/>
      <c r="D222" s="38"/>
      <c r="E222" s="39"/>
      <c r="F222" s="3">
        <v>43.9</v>
      </c>
    </row>
    <row r="223" spans="1:6" x14ac:dyDescent="0.2">
      <c r="A223" s="11">
        <v>705</v>
      </c>
      <c r="B223" s="37"/>
      <c r="C223" s="38"/>
      <c r="D223" s="38"/>
      <c r="E223" s="39"/>
      <c r="F223" s="3">
        <v>42.9</v>
      </c>
    </row>
    <row r="224" spans="1:6" x14ac:dyDescent="0.2">
      <c r="A224" s="11" t="s">
        <v>178</v>
      </c>
      <c r="B224" s="37"/>
      <c r="C224" s="38"/>
      <c r="D224" s="38"/>
      <c r="E224" s="39"/>
      <c r="F224" s="3">
        <v>54.9</v>
      </c>
    </row>
    <row r="225" spans="1:6" x14ac:dyDescent="0.2">
      <c r="A225" s="11">
        <v>706</v>
      </c>
      <c r="B225" s="37"/>
      <c r="C225" s="38"/>
      <c r="D225" s="38"/>
      <c r="E225" s="39"/>
      <c r="F225" s="3">
        <v>46.9</v>
      </c>
    </row>
    <row r="226" spans="1:6" x14ac:dyDescent="0.2">
      <c r="A226" s="11" t="s">
        <v>179</v>
      </c>
      <c r="B226" s="37"/>
      <c r="C226" s="38"/>
      <c r="D226" s="38"/>
      <c r="E226" s="39"/>
      <c r="F226" s="3">
        <v>58.9</v>
      </c>
    </row>
    <row r="227" spans="1:6" x14ac:dyDescent="0.2">
      <c r="A227" s="11">
        <v>707</v>
      </c>
      <c r="B227" s="37"/>
      <c r="C227" s="38"/>
      <c r="D227" s="38"/>
      <c r="E227" s="39"/>
      <c r="F227" s="3">
        <v>34</v>
      </c>
    </row>
    <row r="228" spans="1:6" x14ac:dyDescent="0.2">
      <c r="A228" s="11">
        <v>710</v>
      </c>
      <c r="B228" s="37"/>
      <c r="C228" s="38"/>
      <c r="D228" s="38"/>
      <c r="E228" s="39"/>
      <c r="F228" s="6">
        <v>34</v>
      </c>
    </row>
    <row r="229" spans="1:6" x14ac:dyDescent="0.2">
      <c r="A229" s="11" t="s">
        <v>125</v>
      </c>
      <c r="B229" s="37"/>
      <c r="C229" s="38"/>
      <c r="D229" s="38"/>
      <c r="E229" s="39"/>
      <c r="F229" s="18">
        <v>35.9</v>
      </c>
    </row>
    <row r="230" spans="1:6" x14ac:dyDescent="0.2">
      <c r="A230" s="11">
        <v>714</v>
      </c>
      <c r="B230" s="37"/>
      <c r="C230" s="38"/>
      <c r="D230" s="38"/>
      <c r="E230" s="39"/>
      <c r="F230" s="6">
        <v>49.9</v>
      </c>
    </row>
    <row r="231" spans="1:6" x14ac:dyDescent="0.2">
      <c r="A231" s="11" t="s">
        <v>180</v>
      </c>
      <c r="B231" s="37"/>
      <c r="C231" s="38"/>
      <c r="D231" s="38"/>
      <c r="E231" s="39"/>
      <c r="F231" s="6">
        <v>53.9</v>
      </c>
    </row>
    <row r="232" spans="1:6" x14ac:dyDescent="0.2">
      <c r="A232" s="11">
        <v>715</v>
      </c>
      <c r="B232" s="37"/>
      <c r="C232" s="38"/>
      <c r="D232" s="38"/>
      <c r="E232" s="39"/>
      <c r="F232" s="6">
        <v>46.9</v>
      </c>
    </row>
    <row r="233" spans="1:6" x14ac:dyDescent="0.2">
      <c r="A233" s="11" t="s">
        <v>181</v>
      </c>
      <c r="B233" s="37"/>
      <c r="C233" s="38"/>
      <c r="D233" s="38"/>
      <c r="E233" s="39"/>
      <c r="F233" s="6">
        <v>51.9</v>
      </c>
    </row>
    <row r="234" spans="1:6" x14ac:dyDescent="0.2">
      <c r="A234" s="11">
        <v>716</v>
      </c>
      <c r="B234" s="37"/>
      <c r="C234" s="38"/>
      <c r="D234" s="38"/>
      <c r="E234" s="39"/>
      <c r="F234" s="6">
        <v>60.9</v>
      </c>
    </row>
    <row r="235" spans="1:6" x14ac:dyDescent="0.2">
      <c r="A235" s="11" t="s">
        <v>182</v>
      </c>
      <c r="B235" s="37"/>
      <c r="C235" s="38"/>
      <c r="D235" s="38"/>
      <c r="E235" s="39"/>
      <c r="F235" s="6">
        <v>66.900000000000006</v>
      </c>
    </row>
    <row r="236" spans="1:6" x14ac:dyDescent="0.2">
      <c r="A236" s="11">
        <v>719</v>
      </c>
      <c r="B236" s="37"/>
      <c r="C236" s="38"/>
      <c r="D236" s="38"/>
      <c r="E236" s="39"/>
      <c r="F236" s="6">
        <v>46.9</v>
      </c>
    </row>
    <row r="237" spans="1:6" x14ac:dyDescent="0.2">
      <c r="A237" s="11" t="s">
        <v>195</v>
      </c>
      <c r="B237" s="37"/>
      <c r="C237" s="38"/>
      <c r="D237" s="38"/>
      <c r="E237" s="39"/>
      <c r="F237" s="6">
        <v>50.9</v>
      </c>
    </row>
    <row r="238" spans="1:6" x14ac:dyDescent="0.2">
      <c r="A238" s="11">
        <v>720</v>
      </c>
      <c r="B238" s="37"/>
      <c r="C238" s="38"/>
      <c r="D238" s="38"/>
      <c r="E238" s="39"/>
      <c r="F238" s="6">
        <v>40.9</v>
      </c>
    </row>
    <row r="239" spans="1:6" x14ac:dyDescent="0.2">
      <c r="A239" s="12" t="s">
        <v>127</v>
      </c>
      <c r="B239" s="37"/>
      <c r="C239" s="38"/>
      <c r="D239" s="38"/>
      <c r="E239" s="39"/>
      <c r="F239" s="6">
        <v>43.9</v>
      </c>
    </row>
    <row r="240" spans="1:6" x14ac:dyDescent="0.2">
      <c r="A240" s="11">
        <v>730</v>
      </c>
      <c r="B240" s="37"/>
      <c r="C240" s="38"/>
      <c r="D240" s="38"/>
      <c r="E240" s="39"/>
      <c r="F240" s="3">
        <v>43.9</v>
      </c>
    </row>
    <row r="241" spans="1:6" x14ac:dyDescent="0.2">
      <c r="A241" s="11" t="s">
        <v>129</v>
      </c>
      <c r="B241" s="37"/>
      <c r="C241" s="38"/>
      <c r="D241" s="38"/>
      <c r="E241" s="39"/>
      <c r="F241" s="3">
        <v>46.9</v>
      </c>
    </row>
    <row r="242" spans="1:6" x14ac:dyDescent="0.2">
      <c r="A242" s="11">
        <v>750</v>
      </c>
      <c r="B242" s="37"/>
      <c r="C242" s="38"/>
      <c r="D242" s="38"/>
      <c r="E242" s="39"/>
      <c r="F242" s="3">
        <v>40.9</v>
      </c>
    </row>
    <row r="243" spans="1:6" x14ac:dyDescent="0.2">
      <c r="A243" s="12" t="s">
        <v>130</v>
      </c>
      <c r="B243" s="37"/>
      <c r="C243" s="38"/>
      <c r="D243" s="38"/>
      <c r="E243" s="39"/>
      <c r="F243" s="3">
        <v>43.9</v>
      </c>
    </row>
    <row r="244" spans="1:6" x14ac:dyDescent="0.2">
      <c r="A244" s="11">
        <v>760</v>
      </c>
      <c r="B244" s="37"/>
      <c r="C244" s="38"/>
      <c r="D244" s="38"/>
      <c r="E244" s="39"/>
      <c r="F244" s="3">
        <v>43.9</v>
      </c>
    </row>
    <row r="245" spans="1:6" x14ac:dyDescent="0.2">
      <c r="A245" s="11" t="s">
        <v>131</v>
      </c>
      <c r="B245" s="37"/>
      <c r="C245" s="38"/>
      <c r="D245" s="38"/>
      <c r="E245" s="39"/>
      <c r="F245" s="3">
        <v>47.9</v>
      </c>
    </row>
    <row r="246" spans="1:6" x14ac:dyDescent="0.2">
      <c r="A246" s="11">
        <v>770</v>
      </c>
      <c r="B246" s="37"/>
      <c r="C246" s="38"/>
      <c r="D246" s="38"/>
      <c r="E246" s="39"/>
      <c r="F246" s="3">
        <v>36.9</v>
      </c>
    </row>
    <row r="247" spans="1:6" x14ac:dyDescent="0.2">
      <c r="A247" s="11" t="s">
        <v>132</v>
      </c>
      <c r="B247" s="37"/>
      <c r="C247" s="38"/>
      <c r="D247" s="38"/>
      <c r="E247" s="39"/>
      <c r="F247" s="3">
        <v>40.9</v>
      </c>
    </row>
    <row r="248" spans="1:6" x14ac:dyDescent="0.2">
      <c r="A248" s="11">
        <v>800</v>
      </c>
      <c r="B248" s="37"/>
      <c r="C248" s="38"/>
      <c r="D248" s="38"/>
      <c r="E248" s="39"/>
      <c r="F248" s="3">
        <v>45</v>
      </c>
    </row>
    <row r="249" spans="1:6" x14ac:dyDescent="0.2">
      <c r="A249" s="11" t="s">
        <v>133</v>
      </c>
      <c r="B249" s="37"/>
      <c r="C249" s="38"/>
      <c r="D249" s="38"/>
      <c r="E249" s="39"/>
      <c r="F249" s="3">
        <v>48.9</v>
      </c>
    </row>
    <row r="250" spans="1:6" x14ac:dyDescent="0.2">
      <c r="A250" s="13">
        <v>810</v>
      </c>
      <c r="B250" s="37"/>
      <c r="C250" s="38"/>
      <c r="D250" s="38"/>
      <c r="E250" s="39"/>
      <c r="F250" s="3">
        <v>20.9</v>
      </c>
    </row>
    <row r="251" spans="1:6" x14ac:dyDescent="0.2">
      <c r="A251" s="11">
        <v>815</v>
      </c>
      <c r="B251" s="37"/>
      <c r="C251" s="38"/>
      <c r="D251" s="38"/>
      <c r="E251" s="39"/>
      <c r="F251" s="3">
        <v>40.9</v>
      </c>
    </row>
    <row r="252" spans="1:6" x14ac:dyDescent="0.2">
      <c r="A252" s="11">
        <v>816</v>
      </c>
      <c r="B252" s="37"/>
      <c r="C252" s="38"/>
      <c r="D252" s="38"/>
      <c r="E252" s="39"/>
      <c r="F252" s="3">
        <v>40.9</v>
      </c>
    </row>
    <row r="253" spans="1:6" x14ac:dyDescent="0.2">
      <c r="A253" s="15">
        <v>819</v>
      </c>
      <c r="B253" s="37"/>
      <c r="C253" s="38"/>
      <c r="D253" s="38"/>
      <c r="E253" s="39"/>
      <c r="F253" s="3">
        <v>41.9</v>
      </c>
    </row>
    <row r="254" spans="1:6" x14ac:dyDescent="0.2">
      <c r="A254" s="16">
        <v>841</v>
      </c>
      <c r="B254" s="37"/>
      <c r="C254" s="38"/>
      <c r="D254" s="38"/>
      <c r="E254" s="39"/>
      <c r="F254" s="4">
        <v>43.9</v>
      </c>
    </row>
    <row r="255" spans="1:6" x14ac:dyDescent="0.2">
      <c r="A255" s="16" t="s">
        <v>135</v>
      </c>
      <c r="B255" s="37"/>
      <c r="C255" s="38"/>
      <c r="D255" s="38"/>
      <c r="E255" s="39"/>
      <c r="F255" s="4">
        <v>48.9</v>
      </c>
    </row>
    <row r="256" spans="1:6" x14ac:dyDescent="0.2">
      <c r="A256" s="16">
        <v>845</v>
      </c>
      <c r="B256" s="37"/>
      <c r="C256" s="38"/>
      <c r="D256" s="38"/>
      <c r="E256" s="39"/>
      <c r="F256" s="4">
        <v>43.9</v>
      </c>
    </row>
    <row r="257" spans="1:6" x14ac:dyDescent="0.2">
      <c r="A257" s="16" t="s">
        <v>136</v>
      </c>
      <c r="B257" s="37"/>
      <c r="C257" s="38"/>
      <c r="D257" s="38"/>
      <c r="E257" s="39"/>
      <c r="F257" s="4">
        <v>48.9</v>
      </c>
    </row>
    <row r="258" spans="1:6" x14ac:dyDescent="0.2">
      <c r="A258" s="16">
        <v>848</v>
      </c>
      <c r="B258" s="37"/>
      <c r="C258" s="38"/>
      <c r="D258" s="38"/>
      <c r="E258" s="39"/>
      <c r="F258" s="4">
        <v>48.9</v>
      </c>
    </row>
    <row r="259" spans="1:6" x14ac:dyDescent="0.2">
      <c r="A259" s="16" t="s">
        <v>196</v>
      </c>
      <c r="B259" s="37"/>
      <c r="C259" s="38"/>
      <c r="D259" s="38"/>
      <c r="E259" s="39"/>
      <c r="F259" s="4">
        <v>53.9</v>
      </c>
    </row>
    <row r="260" spans="1:6" x14ac:dyDescent="0.2">
      <c r="A260" s="16">
        <v>849</v>
      </c>
      <c r="B260" s="37"/>
      <c r="C260" s="38"/>
      <c r="D260" s="38"/>
      <c r="E260" s="39"/>
      <c r="F260" s="4">
        <v>51.9</v>
      </c>
    </row>
    <row r="261" spans="1:6" x14ac:dyDescent="0.2">
      <c r="A261" s="16" t="s">
        <v>197</v>
      </c>
      <c r="B261" s="37"/>
      <c r="C261" s="38"/>
      <c r="D261" s="38"/>
      <c r="E261" s="39"/>
      <c r="F261" s="4">
        <v>56</v>
      </c>
    </row>
    <row r="262" spans="1:6" x14ac:dyDescent="0.2">
      <c r="A262" s="16">
        <v>851</v>
      </c>
      <c r="B262" s="37"/>
      <c r="C262" s="38"/>
      <c r="D262" s="38"/>
      <c r="E262" s="39"/>
      <c r="F262" s="4">
        <v>59.9</v>
      </c>
    </row>
    <row r="263" spans="1:6" x14ac:dyDescent="0.2">
      <c r="A263" s="12" t="s">
        <v>198</v>
      </c>
      <c r="B263" s="37"/>
      <c r="C263" s="38"/>
      <c r="D263" s="38"/>
      <c r="E263" s="39"/>
      <c r="F263" s="4">
        <v>66.900000000000006</v>
      </c>
    </row>
    <row r="264" spans="1:6" x14ac:dyDescent="0.2">
      <c r="A264" s="12">
        <v>852</v>
      </c>
      <c r="B264" s="37"/>
      <c r="C264" s="38"/>
      <c r="D264" s="38"/>
      <c r="E264" s="39"/>
      <c r="F264" s="4">
        <v>58.9</v>
      </c>
    </row>
    <row r="265" spans="1:6" x14ac:dyDescent="0.2">
      <c r="A265" s="12" t="s">
        <v>137</v>
      </c>
      <c r="B265" s="37"/>
      <c r="C265" s="38"/>
      <c r="D265" s="38"/>
      <c r="E265" s="39"/>
      <c r="F265" s="4">
        <v>64.900000000000006</v>
      </c>
    </row>
    <row r="266" spans="1:6" x14ac:dyDescent="0.2">
      <c r="A266" s="12">
        <v>853</v>
      </c>
      <c r="B266" s="37"/>
      <c r="C266" s="38"/>
      <c r="D266" s="38"/>
      <c r="E266" s="39"/>
      <c r="F266" s="4">
        <v>59.9</v>
      </c>
    </row>
    <row r="267" spans="1:6" x14ac:dyDescent="0.2">
      <c r="A267" s="12" t="s">
        <v>138</v>
      </c>
      <c r="B267" s="37"/>
      <c r="C267" s="38"/>
      <c r="D267" s="38"/>
      <c r="E267" s="39"/>
      <c r="F267" s="4">
        <v>66</v>
      </c>
    </row>
    <row r="268" spans="1:6" x14ac:dyDescent="0.2">
      <c r="A268" s="12">
        <v>854</v>
      </c>
      <c r="B268" s="37"/>
      <c r="C268" s="38"/>
      <c r="D268" s="38"/>
      <c r="E268" s="39"/>
      <c r="F268" s="4">
        <v>57.9</v>
      </c>
    </row>
    <row r="269" spans="1:6" x14ac:dyDescent="0.2">
      <c r="A269" s="12" t="s">
        <v>139</v>
      </c>
      <c r="B269" s="37"/>
      <c r="C269" s="38"/>
      <c r="D269" s="38"/>
      <c r="E269" s="39"/>
      <c r="F269" s="4">
        <v>62.9</v>
      </c>
    </row>
    <row r="270" spans="1:6" x14ac:dyDescent="0.2">
      <c r="A270" s="12">
        <v>855</v>
      </c>
      <c r="B270" s="37"/>
      <c r="C270" s="38"/>
      <c r="D270" s="38"/>
      <c r="E270" s="39"/>
      <c r="F270" s="4">
        <v>60.9</v>
      </c>
    </row>
    <row r="271" spans="1:6" x14ac:dyDescent="0.2">
      <c r="A271" s="12" t="s">
        <v>140</v>
      </c>
      <c r="B271" s="37"/>
      <c r="C271" s="38"/>
      <c r="D271" s="38"/>
      <c r="E271" s="39"/>
      <c r="F271" s="4">
        <v>67</v>
      </c>
    </row>
    <row r="272" spans="1:6" x14ac:dyDescent="0.2">
      <c r="A272" s="12">
        <v>870</v>
      </c>
      <c r="B272" s="37"/>
      <c r="C272" s="38"/>
      <c r="D272" s="38"/>
      <c r="E272" s="39"/>
      <c r="F272" s="4">
        <v>64.900000000000006</v>
      </c>
    </row>
    <row r="273" spans="1:6" x14ac:dyDescent="0.2">
      <c r="A273" s="12" t="s">
        <v>141</v>
      </c>
      <c r="B273" s="37"/>
      <c r="C273" s="38"/>
      <c r="D273" s="38"/>
      <c r="E273" s="39"/>
      <c r="F273" s="4">
        <v>70.900000000000006</v>
      </c>
    </row>
    <row r="274" spans="1:6" x14ac:dyDescent="0.2">
      <c r="A274" s="12">
        <v>880</v>
      </c>
      <c r="B274" s="37"/>
      <c r="C274" s="38"/>
      <c r="D274" s="38"/>
      <c r="E274" s="39"/>
      <c r="F274" s="4">
        <v>64.900000000000006</v>
      </c>
    </row>
    <row r="275" spans="1:6" x14ac:dyDescent="0.2">
      <c r="A275" s="12" t="s">
        <v>142</v>
      </c>
      <c r="B275" s="37"/>
      <c r="C275" s="38"/>
      <c r="D275" s="38"/>
      <c r="E275" s="39"/>
      <c r="F275" s="4">
        <v>70.900000000000006</v>
      </c>
    </row>
    <row r="276" spans="1:6" x14ac:dyDescent="0.2">
      <c r="A276" s="12">
        <v>881</v>
      </c>
      <c r="B276" s="37"/>
      <c r="C276" s="38"/>
      <c r="D276" s="38"/>
      <c r="E276" s="39"/>
      <c r="F276" s="4">
        <v>42.9</v>
      </c>
    </row>
    <row r="277" spans="1:6" x14ac:dyDescent="0.2">
      <c r="A277" s="12">
        <v>890</v>
      </c>
      <c r="B277" s="37"/>
      <c r="C277" s="38"/>
      <c r="D277" s="38"/>
      <c r="E277" s="39"/>
      <c r="F277" s="4">
        <v>69.900000000000006</v>
      </c>
    </row>
    <row r="278" spans="1:6" x14ac:dyDescent="0.2">
      <c r="A278" s="12">
        <v>901</v>
      </c>
      <c r="B278" s="37"/>
      <c r="C278" s="38"/>
      <c r="D278" s="38"/>
      <c r="E278" s="39"/>
      <c r="F278" s="4">
        <v>36.9</v>
      </c>
    </row>
    <row r="279" spans="1:6" x14ac:dyDescent="0.2">
      <c r="A279" s="12" t="s">
        <v>143</v>
      </c>
      <c r="B279" s="37"/>
      <c r="C279" s="38"/>
      <c r="D279" s="38"/>
      <c r="E279" s="39"/>
      <c r="F279" s="4">
        <v>40.9</v>
      </c>
    </row>
    <row r="280" spans="1:6" x14ac:dyDescent="0.2">
      <c r="A280" s="12">
        <v>911</v>
      </c>
      <c r="B280" s="37"/>
      <c r="C280" s="38"/>
      <c r="D280" s="38"/>
      <c r="E280" s="39"/>
      <c r="F280" s="4">
        <v>36.9</v>
      </c>
    </row>
    <row r="281" spans="1:6" x14ac:dyDescent="0.2">
      <c r="A281" s="12" t="s">
        <v>144</v>
      </c>
      <c r="B281" s="37"/>
      <c r="C281" s="38"/>
      <c r="D281" s="38"/>
      <c r="E281" s="39"/>
      <c r="F281" s="4">
        <v>40.9</v>
      </c>
    </row>
    <row r="282" spans="1:6" x14ac:dyDescent="0.2">
      <c r="A282" s="12">
        <v>981</v>
      </c>
      <c r="B282" s="37"/>
      <c r="C282" s="38"/>
      <c r="D282" s="38"/>
      <c r="E282" s="39"/>
      <c r="F282" s="4">
        <v>43.9</v>
      </c>
    </row>
    <row r="283" spans="1:6" x14ac:dyDescent="0.2">
      <c r="A283" s="12">
        <v>990</v>
      </c>
      <c r="B283" s="37"/>
      <c r="C283" s="38"/>
      <c r="D283" s="38"/>
      <c r="E283" s="39"/>
      <c r="F283" s="4">
        <v>69.900000000000006</v>
      </c>
    </row>
    <row r="284" spans="1:6" x14ac:dyDescent="0.2">
      <c r="A284" s="12" t="s">
        <v>199</v>
      </c>
      <c r="B284" s="37"/>
      <c r="C284" s="38"/>
      <c r="D284" s="38"/>
      <c r="E284" s="39"/>
      <c r="F284" s="4">
        <v>75.900000000000006</v>
      </c>
    </row>
    <row r="285" spans="1:6" x14ac:dyDescent="0.2">
      <c r="A285" s="12">
        <v>1001</v>
      </c>
      <c r="B285" s="37"/>
      <c r="C285" s="38"/>
      <c r="D285" s="38"/>
      <c r="E285" s="39"/>
      <c r="F285" s="4">
        <v>84.9</v>
      </c>
    </row>
    <row r="286" spans="1:6" x14ac:dyDescent="0.2">
      <c r="A286" s="12" t="s">
        <v>200</v>
      </c>
      <c r="B286" s="37"/>
      <c r="C286" s="38"/>
      <c r="D286" s="38"/>
      <c r="E286" s="39"/>
      <c r="F286" s="4">
        <v>92.9</v>
      </c>
    </row>
    <row r="287" spans="1:6" x14ac:dyDescent="0.2">
      <c r="A287" s="12">
        <v>1002</v>
      </c>
      <c r="B287" s="37"/>
      <c r="C287" s="38"/>
      <c r="D287" s="38"/>
      <c r="E287" s="39"/>
      <c r="F287" s="4">
        <v>72.900000000000006</v>
      </c>
    </row>
    <row r="288" spans="1:6" x14ac:dyDescent="0.2">
      <c r="A288" s="12" t="s">
        <v>201</v>
      </c>
      <c r="B288" s="37"/>
      <c r="C288" s="38"/>
      <c r="D288" s="38"/>
      <c r="E288" s="39"/>
      <c r="F288" s="4">
        <v>79.900000000000006</v>
      </c>
    </row>
    <row r="289" spans="1:6" x14ac:dyDescent="0.2">
      <c r="A289" s="12">
        <v>1003</v>
      </c>
      <c r="B289" s="37"/>
      <c r="C289" s="38"/>
      <c r="D289" s="38"/>
      <c r="E289" s="39"/>
      <c r="F289" s="4">
        <v>79.900000000000006</v>
      </c>
    </row>
    <row r="290" spans="1:6" x14ac:dyDescent="0.2">
      <c r="A290" s="12" t="s">
        <v>202</v>
      </c>
      <c r="B290" s="37"/>
      <c r="C290" s="38"/>
      <c r="D290" s="38"/>
      <c r="E290" s="39"/>
      <c r="F290" s="4">
        <v>84.9</v>
      </c>
    </row>
    <row r="291" spans="1:6" x14ac:dyDescent="0.2">
      <c r="A291" s="12">
        <v>1004</v>
      </c>
      <c r="B291" s="37"/>
      <c r="C291" s="38"/>
      <c r="D291" s="38"/>
      <c r="E291" s="39"/>
      <c r="F291" s="4">
        <v>96.9</v>
      </c>
    </row>
    <row r="292" spans="1:6" x14ac:dyDescent="0.2">
      <c r="A292" s="12" t="s">
        <v>203</v>
      </c>
      <c r="B292" s="37"/>
      <c r="C292" s="38"/>
      <c r="D292" s="38"/>
      <c r="E292" s="39"/>
      <c r="F292" s="4">
        <v>105.9</v>
      </c>
    </row>
    <row r="293" spans="1:6" x14ac:dyDescent="0.2">
      <c r="A293" s="12">
        <v>1005</v>
      </c>
      <c r="B293" s="37"/>
      <c r="C293" s="38"/>
      <c r="D293" s="38"/>
      <c r="E293" s="39"/>
      <c r="F293" s="4">
        <v>101.9</v>
      </c>
    </row>
    <row r="294" spans="1:6" x14ac:dyDescent="0.2">
      <c r="A294" s="12" t="s">
        <v>204</v>
      </c>
      <c r="B294" s="37"/>
      <c r="C294" s="38"/>
      <c r="D294" s="38"/>
      <c r="E294" s="39"/>
      <c r="F294" s="4">
        <v>108.9</v>
      </c>
    </row>
    <row r="295" spans="1:6" x14ac:dyDescent="0.2">
      <c r="A295" s="12">
        <v>1007</v>
      </c>
      <c r="B295" s="37"/>
      <c r="C295" s="38"/>
      <c r="D295" s="38"/>
      <c r="E295" s="39"/>
      <c r="F295" s="4">
        <v>67</v>
      </c>
    </row>
    <row r="296" spans="1:6" x14ac:dyDescent="0.2">
      <c r="A296" s="12">
        <v>1008</v>
      </c>
      <c r="B296" s="37"/>
      <c r="C296" s="38"/>
      <c r="D296" s="38"/>
      <c r="E296" s="39"/>
      <c r="F296" s="4">
        <v>96.9</v>
      </c>
    </row>
    <row r="297" spans="1:6" x14ac:dyDescent="0.2">
      <c r="A297" s="12" t="s">
        <v>205</v>
      </c>
      <c r="B297" s="37"/>
      <c r="C297" s="38"/>
      <c r="D297" s="38"/>
      <c r="E297" s="39"/>
      <c r="F297" s="4">
        <v>104.9</v>
      </c>
    </row>
    <row r="298" spans="1:6" x14ac:dyDescent="0.2">
      <c r="A298" s="12">
        <v>1009</v>
      </c>
      <c r="B298" s="37"/>
      <c r="C298" s="38"/>
      <c r="D298" s="38"/>
      <c r="E298" s="39"/>
      <c r="F298" s="4">
        <v>96.9</v>
      </c>
    </row>
    <row r="299" spans="1:6" x14ac:dyDescent="0.2">
      <c r="A299" s="12" t="s">
        <v>206</v>
      </c>
      <c r="B299" s="37"/>
      <c r="C299" s="38"/>
      <c r="D299" s="38"/>
      <c r="E299" s="39"/>
      <c r="F299" s="4">
        <v>104.9</v>
      </c>
    </row>
    <row r="300" spans="1:6" x14ac:dyDescent="0.2">
      <c r="A300" s="12">
        <v>1010</v>
      </c>
      <c r="B300" s="37"/>
      <c r="C300" s="38"/>
      <c r="D300" s="38"/>
      <c r="E300" s="39"/>
      <c r="F300" s="4">
        <v>40.9</v>
      </c>
    </row>
    <row r="301" spans="1:6" x14ac:dyDescent="0.2">
      <c r="A301" s="12">
        <v>1011</v>
      </c>
      <c r="B301" s="37"/>
      <c r="C301" s="38"/>
      <c r="D301" s="38"/>
      <c r="E301" s="39"/>
      <c r="F301" s="4">
        <v>37.9</v>
      </c>
    </row>
    <row r="302" spans="1:6" x14ac:dyDescent="0.2">
      <c r="A302" s="12">
        <v>1012</v>
      </c>
      <c r="B302" s="37"/>
      <c r="C302" s="38"/>
      <c r="D302" s="38"/>
      <c r="E302" s="39"/>
      <c r="F302" s="4">
        <v>41.9</v>
      </c>
    </row>
    <row r="303" spans="1:6" x14ac:dyDescent="0.2">
      <c r="A303" s="12">
        <v>1013</v>
      </c>
      <c r="B303" s="37"/>
      <c r="C303" s="38"/>
      <c r="D303" s="38"/>
      <c r="E303" s="39"/>
      <c r="F303" s="4">
        <v>43.9</v>
      </c>
    </row>
    <row r="304" spans="1:6" x14ac:dyDescent="0.2">
      <c r="A304" s="12">
        <v>1020</v>
      </c>
      <c r="B304" s="37"/>
      <c r="C304" s="38"/>
      <c r="D304" s="38"/>
      <c r="E304" s="39"/>
      <c r="F304" s="4">
        <v>72.900000000000006</v>
      </c>
    </row>
    <row r="305" spans="1:6" x14ac:dyDescent="0.2">
      <c r="A305" s="12">
        <v>1021</v>
      </c>
      <c r="B305" s="37"/>
      <c r="C305" s="38"/>
      <c r="D305" s="38"/>
      <c r="E305" s="39"/>
      <c r="F305" s="4">
        <v>72.900000000000006</v>
      </c>
    </row>
    <row r="306" spans="1:6" x14ac:dyDescent="0.2">
      <c r="A306" s="12">
        <v>1023</v>
      </c>
      <c r="B306" s="37"/>
      <c r="C306" s="38"/>
      <c r="D306" s="38"/>
      <c r="E306" s="39"/>
      <c r="F306" s="4">
        <v>67.900000000000006</v>
      </c>
    </row>
    <row r="307" spans="1:6" x14ac:dyDescent="0.2">
      <c r="A307" s="12">
        <v>1024</v>
      </c>
      <c r="B307" s="37"/>
      <c r="C307" s="38"/>
      <c r="D307" s="38"/>
      <c r="E307" s="39"/>
      <c r="F307" s="4">
        <v>43.9</v>
      </c>
    </row>
    <row r="308" spans="1:6" x14ac:dyDescent="0.2">
      <c r="A308" s="12">
        <v>1025</v>
      </c>
      <c r="B308" s="37"/>
      <c r="C308" s="38"/>
      <c r="D308" s="38"/>
      <c r="E308" s="39"/>
      <c r="F308" s="4">
        <v>67</v>
      </c>
    </row>
    <row r="309" spans="1:6" x14ac:dyDescent="0.2">
      <c r="A309" s="12" t="s">
        <v>207</v>
      </c>
      <c r="B309" s="37"/>
      <c r="C309" s="38"/>
      <c r="D309" s="38"/>
      <c r="E309" s="39"/>
      <c r="F309" s="4">
        <v>72.900000000000006</v>
      </c>
    </row>
    <row r="310" spans="1:6" x14ac:dyDescent="0.2">
      <c r="A310" s="12">
        <v>1026</v>
      </c>
      <c r="B310" s="37"/>
      <c r="C310" s="38"/>
      <c r="D310" s="38"/>
      <c r="E310" s="39"/>
      <c r="F310" s="4">
        <v>103.9</v>
      </c>
    </row>
    <row r="311" spans="1:6" x14ac:dyDescent="0.2">
      <c r="A311" s="12" t="s">
        <v>208</v>
      </c>
      <c r="B311" s="37"/>
      <c r="C311" s="38"/>
      <c r="D311" s="38"/>
      <c r="E311" s="39"/>
      <c r="F311" s="4">
        <v>113.9</v>
      </c>
    </row>
    <row r="312" spans="1:6" x14ac:dyDescent="0.2">
      <c r="A312" s="12">
        <v>1027</v>
      </c>
      <c r="B312" s="37"/>
      <c r="C312" s="38"/>
      <c r="D312" s="38"/>
      <c r="E312" s="39"/>
      <c r="F312" s="4">
        <v>107.9</v>
      </c>
    </row>
    <row r="313" spans="1:6" x14ac:dyDescent="0.2">
      <c r="A313" s="12" t="s">
        <v>209</v>
      </c>
      <c r="B313" s="37"/>
      <c r="C313" s="38"/>
      <c r="D313" s="38"/>
      <c r="E313" s="39"/>
      <c r="F313" s="4">
        <v>117.9</v>
      </c>
    </row>
    <row r="314" spans="1:6" x14ac:dyDescent="0.2">
      <c r="A314" s="12">
        <v>1030</v>
      </c>
      <c r="B314" s="37"/>
      <c r="C314" s="38"/>
      <c r="D314" s="38"/>
      <c r="E314" s="39"/>
      <c r="F314" s="4">
        <v>75.900000000000006</v>
      </c>
    </row>
    <row r="315" spans="1:6" x14ac:dyDescent="0.2">
      <c r="A315" s="12" t="s">
        <v>210</v>
      </c>
      <c r="B315" s="37"/>
      <c r="C315" s="38"/>
      <c r="D315" s="38"/>
      <c r="E315" s="39"/>
      <c r="F315" s="4">
        <v>83.9</v>
      </c>
    </row>
    <row r="316" spans="1:6" x14ac:dyDescent="0.2">
      <c r="A316" s="12">
        <v>1031</v>
      </c>
      <c r="B316" s="37"/>
      <c r="C316" s="38"/>
      <c r="D316" s="38"/>
      <c r="E316" s="39"/>
      <c r="F316" s="4">
        <v>67</v>
      </c>
    </row>
    <row r="317" spans="1:6" x14ac:dyDescent="0.2">
      <c r="A317" s="12" t="s">
        <v>211</v>
      </c>
      <c r="B317" s="37"/>
      <c r="C317" s="38"/>
      <c r="D317" s="38"/>
      <c r="E317" s="39"/>
      <c r="F317" s="4">
        <v>72.900000000000006</v>
      </c>
    </row>
    <row r="318" spans="1:6" x14ac:dyDescent="0.2">
      <c r="A318" s="12">
        <v>1032</v>
      </c>
      <c r="B318" s="37"/>
      <c r="C318" s="38"/>
      <c r="D318" s="38"/>
      <c r="E318" s="39"/>
      <c r="F318" s="4">
        <v>105.9</v>
      </c>
    </row>
    <row r="319" spans="1:6" x14ac:dyDescent="0.2">
      <c r="A319" s="12" t="s">
        <v>212</v>
      </c>
      <c r="B319" s="37"/>
      <c r="C319" s="38"/>
      <c r="D319" s="38"/>
      <c r="E319" s="39"/>
      <c r="F319" s="4">
        <v>116.9</v>
      </c>
    </row>
    <row r="320" spans="1:6" x14ac:dyDescent="0.2">
      <c r="A320" s="12">
        <v>1033</v>
      </c>
      <c r="B320" s="37"/>
      <c r="C320" s="38"/>
      <c r="D320" s="38"/>
      <c r="E320" s="39"/>
      <c r="F320" s="4">
        <v>67</v>
      </c>
    </row>
    <row r="321" spans="1:6" x14ac:dyDescent="0.2">
      <c r="A321" s="12" t="s">
        <v>213</v>
      </c>
      <c r="B321" s="37"/>
      <c r="C321" s="38"/>
      <c r="D321" s="38"/>
      <c r="E321" s="39"/>
      <c r="F321" s="4">
        <v>72.900000000000006</v>
      </c>
    </row>
    <row r="322" spans="1:6" x14ac:dyDescent="0.2">
      <c r="A322" s="12">
        <v>1034</v>
      </c>
      <c r="B322" s="37"/>
      <c r="C322" s="38"/>
      <c r="D322" s="38"/>
      <c r="E322" s="39"/>
      <c r="F322" s="4">
        <v>40.9</v>
      </c>
    </row>
    <row r="323" spans="1:6" x14ac:dyDescent="0.2">
      <c r="A323" s="12" t="s">
        <v>214</v>
      </c>
      <c r="B323" s="37"/>
      <c r="C323" s="38"/>
      <c r="D323" s="38"/>
      <c r="E323" s="39"/>
      <c r="F323" s="4">
        <v>43.9</v>
      </c>
    </row>
    <row r="324" spans="1:6" x14ac:dyDescent="0.2">
      <c r="A324" s="12">
        <v>1035</v>
      </c>
      <c r="B324" s="37"/>
      <c r="C324" s="38"/>
      <c r="D324" s="38"/>
      <c r="E324" s="39"/>
      <c r="F324" s="4">
        <v>46.9</v>
      </c>
    </row>
    <row r="325" spans="1:6" x14ac:dyDescent="0.2">
      <c r="A325" s="12" t="s">
        <v>215</v>
      </c>
      <c r="B325" s="37"/>
      <c r="C325" s="38"/>
      <c r="D325" s="38"/>
      <c r="E325" s="39"/>
      <c r="F325" s="4">
        <v>50.9</v>
      </c>
    </row>
    <row r="326" spans="1:6" x14ac:dyDescent="0.2">
      <c r="A326" s="12">
        <v>1036</v>
      </c>
      <c r="B326" s="37"/>
      <c r="C326" s="38"/>
      <c r="D326" s="38"/>
      <c r="E326" s="39"/>
      <c r="F326" s="4">
        <v>48.9</v>
      </c>
    </row>
    <row r="327" spans="1:6" x14ac:dyDescent="0.2">
      <c r="A327" s="12">
        <v>1037</v>
      </c>
      <c r="B327" s="37"/>
      <c r="C327" s="38"/>
      <c r="D327" s="38"/>
      <c r="E327" s="39"/>
      <c r="F327" s="4">
        <v>60.9</v>
      </c>
    </row>
    <row r="328" spans="1:6" x14ac:dyDescent="0.2">
      <c r="A328" s="12">
        <v>1038</v>
      </c>
      <c r="B328" s="37"/>
      <c r="C328" s="38"/>
      <c r="D328" s="38"/>
      <c r="E328" s="39"/>
      <c r="F328" s="4">
        <v>36.9</v>
      </c>
    </row>
    <row r="329" spans="1:6" x14ac:dyDescent="0.2">
      <c r="A329" s="12">
        <v>1039</v>
      </c>
      <c r="B329" s="37"/>
      <c r="C329" s="38"/>
      <c r="D329" s="38"/>
      <c r="E329" s="39"/>
      <c r="F329" s="4">
        <v>40.9</v>
      </c>
    </row>
    <row r="330" spans="1:6" x14ac:dyDescent="0.2">
      <c r="A330" s="12">
        <v>1040</v>
      </c>
      <c r="B330" s="37"/>
      <c r="C330" s="38"/>
      <c r="D330" s="38"/>
      <c r="E330" s="39"/>
      <c r="F330" s="4">
        <v>43.9</v>
      </c>
    </row>
    <row r="331" spans="1:6" x14ac:dyDescent="0.2">
      <c r="A331" s="12">
        <v>1041</v>
      </c>
      <c r="B331" s="37"/>
      <c r="C331" s="38"/>
      <c r="D331" s="38"/>
      <c r="E331" s="39"/>
      <c r="F331" s="4">
        <v>43.9</v>
      </c>
    </row>
    <row r="332" spans="1:6" x14ac:dyDescent="0.2">
      <c r="A332" s="12">
        <v>1042</v>
      </c>
      <c r="B332" s="37"/>
      <c r="C332" s="38"/>
      <c r="D332" s="38"/>
      <c r="E332" s="39"/>
      <c r="F332" s="4">
        <v>30.9</v>
      </c>
    </row>
    <row r="333" spans="1:6" x14ac:dyDescent="0.2">
      <c r="A333" s="12" t="s">
        <v>217</v>
      </c>
      <c r="B333" s="37"/>
      <c r="C333" s="38"/>
      <c r="D333" s="38"/>
      <c r="E333" s="39"/>
      <c r="F333" s="4">
        <v>34</v>
      </c>
    </row>
    <row r="334" spans="1:6" x14ac:dyDescent="0.2">
      <c r="A334" s="12">
        <v>1043</v>
      </c>
      <c r="B334" s="37"/>
      <c r="C334" s="38"/>
      <c r="D334" s="38"/>
      <c r="E334" s="39"/>
      <c r="F334" s="4">
        <v>34</v>
      </c>
    </row>
    <row r="335" spans="1:6" x14ac:dyDescent="0.2">
      <c r="A335" s="12" t="s">
        <v>216</v>
      </c>
      <c r="B335" s="37"/>
      <c r="C335" s="38"/>
      <c r="D335" s="38"/>
      <c r="E335" s="39"/>
      <c r="F335" s="4">
        <v>38.9</v>
      </c>
    </row>
    <row r="336" spans="1:6" x14ac:dyDescent="0.2">
      <c r="A336" s="12">
        <v>1274</v>
      </c>
      <c r="B336" s="37"/>
      <c r="C336" s="38"/>
      <c r="D336" s="38"/>
      <c r="E336" s="39"/>
      <c r="F336" s="4">
        <v>72.900000000000006</v>
      </c>
    </row>
    <row r="337" spans="1:6" x14ac:dyDescent="0.2">
      <c r="A337" s="12">
        <v>1275</v>
      </c>
      <c r="B337" s="37"/>
      <c r="C337" s="38"/>
      <c r="D337" s="38"/>
      <c r="E337" s="39"/>
      <c r="F337" s="4">
        <v>72.900000000000006</v>
      </c>
    </row>
    <row r="338" spans="1:6" x14ac:dyDescent="0.2">
      <c r="A338" s="12">
        <v>1400</v>
      </c>
      <c r="B338" s="37"/>
      <c r="C338" s="38"/>
      <c r="D338" s="38"/>
      <c r="E338" s="39"/>
      <c r="F338" s="4">
        <v>45</v>
      </c>
    </row>
    <row r="339" spans="1:6" x14ac:dyDescent="0.2">
      <c r="A339" s="12">
        <v>1460</v>
      </c>
      <c r="B339" s="37"/>
      <c r="C339" s="38"/>
      <c r="D339" s="38"/>
      <c r="E339" s="39"/>
      <c r="F339" s="4">
        <v>46.9</v>
      </c>
    </row>
    <row r="340" spans="1:6" x14ac:dyDescent="0.2">
      <c r="A340" s="12">
        <v>2014</v>
      </c>
      <c r="B340" s="37" t="s">
        <v>156</v>
      </c>
      <c r="C340" s="38"/>
      <c r="D340" s="38"/>
      <c r="E340" s="39"/>
      <c r="F340" s="4">
        <v>14.9</v>
      </c>
    </row>
    <row r="341" spans="1:6" x14ac:dyDescent="0.2">
      <c r="A341" s="12">
        <v>2130</v>
      </c>
      <c r="B341" s="37"/>
      <c r="C341" s="38"/>
      <c r="D341" s="38"/>
      <c r="E341" s="39"/>
      <c r="F341" s="4">
        <v>59.9</v>
      </c>
    </row>
    <row r="342" spans="1:6" x14ac:dyDescent="0.2">
      <c r="A342" s="12" t="s">
        <v>146</v>
      </c>
      <c r="B342" s="37"/>
      <c r="C342" s="38"/>
      <c r="D342" s="38"/>
      <c r="E342" s="39"/>
      <c r="F342" s="4">
        <v>65.900000000000006</v>
      </c>
    </row>
    <row r="343" spans="1:6" x14ac:dyDescent="0.2">
      <c r="A343" s="12">
        <v>2131</v>
      </c>
      <c r="B343" s="37"/>
      <c r="C343" s="38"/>
      <c r="D343" s="38"/>
      <c r="E343" s="39"/>
      <c r="F343" s="4">
        <v>41.9</v>
      </c>
    </row>
    <row r="344" spans="1:6" x14ac:dyDescent="0.2">
      <c r="A344" s="12" t="s">
        <v>147</v>
      </c>
      <c r="B344" s="37"/>
      <c r="C344" s="38"/>
      <c r="D344" s="38"/>
      <c r="E344" s="39"/>
      <c r="F344" s="4">
        <v>45</v>
      </c>
    </row>
    <row r="345" spans="1:6" x14ac:dyDescent="0.2">
      <c r="A345" s="12">
        <v>2134</v>
      </c>
      <c r="B345" s="37"/>
      <c r="C345" s="38"/>
      <c r="D345" s="38"/>
      <c r="E345" s="39"/>
      <c r="F345" s="4">
        <v>41.9</v>
      </c>
    </row>
    <row r="346" spans="1:6" x14ac:dyDescent="0.2">
      <c r="A346" s="12" t="s">
        <v>148</v>
      </c>
      <c r="B346" s="37"/>
      <c r="C346" s="38"/>
      <c r="D346" s="38"/>
      <c r="E346" s="39"/>
      <c r="F346" s="4">
        <v>45</v>
      </c>
    </row>
    <row r="347" spans="1:6" x14ac:dyDescent="0.2">
      <c r="A347" s="12">
        <v>2226</v>
      </c>
      <c r="B347" s="37"/>
      <c r="C347" s="38"/>
      <c r="D347" s="38"/>
      <c r="E347" s="39"/>
      <c r="F347" s="4">
        <v>47.9</v>
      </c>
    </row>
    <row r="348" spans="1:6" x14ac:dyDescent="0.2">
      <c r="A348" s="12" t="s">
        <v>149</v>
      </c>
      <c r="B348" s="37"/>
      <c r="C348" s="38"/>
      <c r="D348" s="38"/>
      <c r="E348" s="39"/>
      <c r="F348" s="4">
        <v>53.9</v>
      </c>
    </row>
    <row r="349" spans="1:6" x14ac:dyDescent="0.2">
      <c r="A349" s="12">
        <v>4130</v>
      </c>
      <c r="B349" s="37"/>
      <c r="C349" s="38"/>
      <c r="D349" s="38"/>
      <c r="E349" s="39"/>
      <c r="F349" s="4">
        <v>65.900000000000006</v>
      </c>
    </row>
    <row r="350" spans="1:6" x14ac:dyDescent="0.2">
      <c r="A350" s="12" t="s">
        <v>150</v>
      </c>
      <c r="B350" s="37"/>
      <c r="C350" s="38"/>
      <c r="D350" s="38"/>
      <c r="E350" s="39"/>
      <c r="F350" s="4">
        <v>72.900000000000006</v>
      </c>
    </row>
    <row r="351" spans="1:6" x14ac:dyDescent="0.2">
      <c r="A351" s="12">
        <v>4131</v>
      </c>
      <c r="B351" s="78"/>
      <c r="C351" s="79"/>
      <c r="D351" s="79"/>
      <c r="E351" s="80"/>
      <c r="F351" s="4">
        <v>69.900000000000006</v>
      </c>
    </row>
    <row r="352" spans="1:6" x14ac:dyDescent="0.2">
      <c r="A352" s="17" t="s">
        <v>151</v>
      </c>
      <c r="B352" s="37"/>
      <c r="C352" s="38"/>
      <c r="D352" s="38"/>
      <c r="E352" s="39"/>
      <c r="F352" s="89">
        <v>75.900000000000006</v>
      </c>
    </row>
    <row r="353" spans="1:6" x14ac:dyDescent="0.2">
      <c r="A353" s="81"/>
      <c r="B353" s="82"/>
      <c r="C353" s="83"/>
      <c r="D353" s="83"/>
      <c r="E353" s="83"/>
      <c r="F353" s="84"/>
    </row>
    <row r="354" spans="1:6" x14ac:dyDescent="0.2">
      <c r="A354" s="81"/>
      <c r="B354" s="82"/>
      <c r="C354" s="83"/>
      <c r="D354" s="83"/>
      <c r="E354" s="83"/>
      <c r="F354" s="84"/>
    </row>
    <row r="355" spans="1:6" x14ac:dyDescent="0.2">
      <c r="A355" s="81"/>
      <c r="B355" s="82"/>
      <c r="C355" s="83"/>
      <c r="D355" s="83"/>
      <c r="E355" s="83"/>
      <c r="F355" s="84"/>
    </row>
    <row r="356" spans="1:6" x14ac:dyDescent="0.2">
      <c r="A356" s="81"/>
      <c r="B356" s="82"/>
      <c r="C356" s="83"/>
      <c r="D356" s="83"/>
      <c r="E356" s="83"/>
      <c r="F356" s="84"/>
    </row>
    <row r="357" spans="1:6" x14ac:dyDescent="0.2">
      <c r="A357" s="81"/>
      <c r="B357" s="82"/>
      <c r="C357" s="83"/>
      <c r="D357" s="83"/>
      <c r="E357" s="83"/>
      <c r="F357" s="84"/>
    </row>
    <row r="358" spans="1:6" x14ac:dyDescent="0.2">
      <c r="A358" s="81"/>
      <c r="B358" s="82"/>
      <c r="C358" s="83"/>
      <c r="D358" s="83"/>
      <c r="E358" s="83"/>
      <c r="F358" s="84"/>
    </row>
    <row r="359" spans="1:6" x14ac:dyDescent="0.2">
      <c r="A359" s="81"/>
      <c r="B359" s="82"/>
      <c r="C359" s="83"/>
      <c r="D359" s="83"/>
      <c r="E359" s="83"/>
      <c r="F359" s="84"/>
    </row>
    <row r="360" spans="1:6" x14ac:dyDescent="0.2">
      <c r="A360" s="81"/>
      <c r="B360" s="82"/>
      <c r="C360" s="83"/>
      <c r="D360" s="83"/>
      <c r="E360" s="83"/>
      <c r="F360" s="84"/>
    </row>
    <row r="361" spans="1:6" x14ac:dyDescent="0.2">
      <c r="A361" s="81"/>
      <c r="B361" s="82"/>
      <c r="C361" s="83"/>
      <c r="D361" s="83"/>
      <c r="E361" s="83"/>
      <c r="F361" s="84"/>
    </row>
    <row r="362" spans="1:6" x14ac:dyDescent="0.2">
      <c r="B362" s="82"/>
      <c r="C362" s="83"/>
      <c r="D362" s="83"/>
      <c r="E362" s="83"/>
      <c r="F362" s="84"/>
    </row>
    <row r="363" spans="1:6" x14ac:dyDescent="0.2">
      <c r="B363" s="82"/>
      <c r="C363" s="83"/>
      <c r="D363" s="83"/>
      <c r="E363" s="83"/>
      <c r="F363" s="84"/>
    </row>
    <row r="364" spans="1:6" x14ac:dyDescent="0.2">
      <c r="B364" s="82"/>
      <c r="C364" s="83"/>
      <c r="D364" s="83"/>
      <c r="E364" s="83"/>
      <c r="F364" s="85"/>
    </row>
    <row r="365" spans="1:6" x14ac:dyDescent="0.2">
      <c r="B365" s="82"/>
      <c r="C365" s="83"/>
      <c r="D365" s="83"/>
      <c r="E365" s="83"/>
      <c r="F365" s="85"/>
    </row>
    <row r="366" spans="1:6" x14ac:dyDescent="0.2">
      <c r="B366" s="82"/>
      <c r="C366" s="83"/>
      <c r="D366" s="83"/>
      <c r="E366" s="83"/>
      <c r="F366" s="85"/>
    </row>
    <row r="367" spans="1:6" x14ac:dyDescent="0.2">
      <c r="B367" s="82"/>
      <c r="C367" s="83"/>
      <c r="D367" s="83"/>
      <c r="E367" s="83"/>
      <c r="F367" s="85"/>
    </row>
    <row r="368" spans="1:6" x14ac:dyDescent="0.2">
      <c r="B368" s="82"/>
      <c r="C368" s="83"/>
      <c r="D368" s="83"/>
      <c r="E368" s="83"/>
      <c r="F368" s="85"/>
    </row>
    <row r="369" spans="2:6" x14ac:dyDescent="0.2">
      <c r="B369" s="82"/>
      <c r="C369" s="83"/>
      <c r="D369" s="83"/>
      <c r="E369" s="83"/>
      <c r="F369" s="85"/>
    </row>
    <row r="370" spans="2:6" x14ac:dyDescent="0.2">
      <c r="B370" s="86"/>
      <c r="C370" s="83"/>
      <c r="D370" s="83"/>
      <c r="E370" s="83"/>
      <c r="F370" s="85"/>
    </row>
    <row r="371" spans="2:6" x14ac:dyDescent="0.2">
      <c r="B371" s="86"/>
      <c r="C371" s="83"/>
      <c r="D371" s="83"/>
      <c r="E371" s="83"/>
      <c r="F371" s="85"/>
    </row>
    <row r="372" spans="2:6" x14ac:dyDescent="0.2">
      <c r="B372" s="86"/>
      <c r="C372" s="83"/>
      <c r="D372" s="83"/>
      <c r="E372" s="83"/>
      <c r="F372" s="85"/>
    </row>
    <row r="373" spans="2:6" x14ac:dyDescent="0.2">
      <c r="B373" s="86"/>
      <c r="C373" s="83"/>
      <c r="D373" s="83"/>
      <c r="E373" s="83"/>
      <c r="F373" s="85"/>
    </row>
    <row r="374" spans="2:6" x14ac:dyDescent="0.2">
      <c r="B374" s="86"/>
      <c r="C374" s="83"/>
      <c r="D374" s="83"/>
      <c r="E374" s="83"/>
      <c r="F374" s="85"/>
    </row>
    <row r="375" spans="2:6" x14ac:dyDescent="0.2">
      <c r="B375" s="86"/>
      <c r="C375" s="83"/>
      <c r="D375" s="83"/>
      <c r="E375" s="83"/>
      <c r="F375" s="85"/>
    </row>
    <row r="376" spans="2:6" x14ac:dyDescent="0.2">
      <c r="C376" s="83"/>
      <c r="D376" s="83"/>
      <c r="E376" s="83"/>
      <c r="F376" s="85"/>
    </row>
    <row r="377" spans="2:6" x14ac:dyDescent="0.2">
      <c r="C377" s="83"/>
      <c r="D377" s="83"/>
      <c r="E377" s="83"/>
      <c r="F377" s="85"/>
    </row>
    <row r="378" spans="2:6" x14ac:dyDescent="0.2">
      <c r="C378" s="83"/>
      <c r="D378" s="83"/>
      <c r="E378" s="83"/>
      <c r="F378" s="85"/>
    </row>
    <row r="379" spans="2:6" x14ac:dyDescent="0.2">
      <c r="C379" s="83"/>
      <c r="D379" s="83"/>
      <c r="E379" s="83"/>
      <c r="F379" s="84"/>
    </row>
    <row r="380" spans="2:6" x14ac:dyDescent="0.2">
      <c r="C380" s="83"/>
      <c r="D380" s="83"/>
      <c r="E380" s="83"/>
      <c r="F380" s="84"/>
    </row>
    <row r="381" spans="2:6" x14ac:dyDescent="0.2">
      <c r="C381" s="83"/>
      <c r="D381" s="83"/>
      <c r="E381" s="83"/>
      <c r="F381" s="84"/>
    </row>
    <row r="382" spans="2:6" x14ac:dyDescent="0.2">
      <c r="C382" s="83"/>
      <c r="D382" s="83"/>
      <c r="E382" s="83"/>
      <c r="F382" s="84"/>
    </row>
    <row r="383" spans="2:6" x14ac:dyDescent="0.2">
      <c r="C383" s="83"/>
      <c r="D383" s="83"/>
      <c r="E383" s="83"/>
      <c r="F383" s="84"/>
    </row>
    <row r="384" spans="2:6" x14ac:dyDescent="0.2">
      <c r="C384" s="83"/>
      <c r="D384" s="83"/>
      <c r="E384" s="83"/>
      <c r="F384" s="84"/>
    </row>
    <row r="385" spans="3:6" x14ac:dyDescent="0.2">
      <c r="C385" s="83"/>
      <c r="D385" s="83"/>
      <c r="E385" s="83"/>
      <c r="F385" s="84"/>
    </row>
    <row r="386" spans="3:6" x14ac:dyDescent="0.2">
      <c r="C386" s="83"/>
      <c r="D386" s="83"/>
      <c r="E386" s="83"/>
      <c r="F386" s="84"/>
    </row>
    <row r="387" spans="3:6" x14ac:dyDescent="0.2">
      <c r="C387" s="83"/>
      <c r="D387" s="83"/>
      <c r="E387" s="83"/>
      <c r="F387" s="85"/>
    </row>
    <row r="388" spans="3:6" x14ac:dyDescent="0.2">
      <c r="C388" s="83"/>
      <c r="D388" s="83"/>
      <c r="E388" s="83"/>
      <c r="F388" s="85"/>
    </row>
    <row r="389" spans="3:6" x14ac:dyDescent="0.2">
      <c r="C389" s="83"/>
      <c r="D389" s="83"/>
      <c r="E389" s="83"/>
      <c r="F389" s="85"/>
    </row>
    <row r="390" spans="3:6" x14ac:dyDescent="0.2">
      <c r="C390" s="83"/>
      <c r="D390" s="83"/>
      <c r="E390" s="83"/>
      <c r="F390" s="85"/>
    </row>
    <row r="391" spans="3:6" x14ac:dyDescent="0.2">
      <c r="C391" s="83"/>
      <c r="D391" s="83"/>
      <c r="E391" s="83"/>
      <c r="F391" s="85"/>
    </row>
    <row r="392" spans="3:6" x14ac:dyDescent="0.2">
      <c r="C392" s="83"/>
      <c r="D392" s="83"/>
      <c r="E392" s="83"/>
      <c r="F392" s="85"/>
    </row>
    <row r="393" spans="3:6" x14ac:dyDescent="0.2">
      <c r="C393" s="83"/>
      <c r="D393" s="83"/>
      <c r="E393" s="83"/>
      <c r="F393" s="85"/>
    </row>
    <row r="394" spans="3:6" x14ac:dyDescent="0.2">
      <c r="C394" s="83"/>
      <c r="D394" s="83"/>
      <c r="E394" s="83"/>
      <c r="F394" s="85"/>
    </row>
    <row r="395" spans="3:6" x14ac:dyDescent="0.2">
      <c r="C395" s="83"/>
      <c r="D395" s="83"/>
      <c r="E395" s="83"/>
      <c r="F395" s="85"/>
    </row>
    <row r="396" spans="3:6" x14ac:dyDescent="0.2">
      <c r="C396" s="83"/>
      <c r="D396" s="83"/>
      <c r="E396" s="83"/>
      <c r="F396" s="85"/>
    </row>
    <row r="397" spans="3:6" x14ac:dyDescent="0.2">
      <c r="C397" s="83"/>
      <c r="D397" s="83"/>
      <c r="E397" s="83"/>
      <c r="F397" s="85"/>
    </row>
    <row r="398" spans="3:6" x14ac:dyDescent="0.2">
      <c r="C398" s="83"/>
      <c r="D398" s="83"/>
      <c r="E398" s="83"/>
      <c r="F398" s="85"/>
    </row>
    <row r="399" spans="3:6" x14ac:dyDescent="0.2">
      <c r="C399" s="83"/>
      <c r="D399" s="83"/>
      <c r="E399" s="83"/>
      <c r="F399" s="84"/>
    </row>
    <row r="400" spans="3:6" x14ac:dyDescent="0.2">
      <c r="C400" s="83"/>
      <c r="D400" s="83"/>
      <c r="E400" s="83"/>
      <c r="F400" s="84"/>
    </row>
    <row r="401" spans="3:6" x14ac:dyDescent="0.2">
      <c r="C401" s="83"/>
      <c r="D401" s="83"/>
      <c r="E401" s="83"/>
      <c r="F401" s="84"/>
    </row>
    <row r="402" spans="3:6" x14ac:dyDescent="0.2">
      <c r="C402" s="83"/>
      <c r="D402" s="83"/>
      <c r="E402" s="83"/>
      <c r="F402" s="84"/>
    </row>
    <row r="403" spans="3:6" x14ac:dyDescent="0.2">
      <c r="C403" s="83"/>
      <c r="D403" s="83"/>
      <c r="E403" s="83"/>
      <c r="F403" s="84"/>
    </row>
    <row r="404" spans="3:6" x14ac:dyDescent="0.2">
      <c r="C404" s="83"/>
      <c r="D404" s="83"/>
      <c r="E404" s="83"/>
      <c r="F404" s="84"/>
    </row>
    <row r="405" spans="3:6" x14ac:dyDescent="0.2">
      <c r="C405" s="83"/>
      <c r="D405" s="83"/>
      <c r="E405" s="83"/>
      <c r="F405" s="84"/>
    </row>
    <row r="406" spans="3:6" x14ac:dyDescent="0.2">
      <c r="C406" s="83"/>
      <c r="D406" s="83"/>
      <c r="E406" s="83"/>
      <c r="F406" s="84"/>
    </row>
    <row r="407" spans="3:6" x14ac:dyDescent="0.2">
      <c r="C407" s="83"/>
      <c r="D407" s="83"/>
      <c r="E407" s="83"/>
      <c r="F407" s="84"/>
    </row>
    <row r="408" spans="3:6" x14ac:dyDescent="0.2">
      <c r="C408" s="83"/>
      <c r="D408" s="83"/>
      <c r="E408" s="83"/>
      <c r="F408" s="84"/>
    </row>
    <row r="409" spans="3:6" x14ac:dyDescent="0.2">
      <c r="C409" s="83"/>
      <c r="D409" s="83"/>
      <c r="E409" s="83"/>
      <c r="F409" s="84"/>
    </row>
    <row r="410" spans="3:6" x14ac:dyDescent="0.2">
      <c r="C410" s="83"/>
      <c r="D410" s="83"/>
      <c r="E410" s="83"/>
      <c r="F410" s="84"/>
    </row>
    <row r="411" spans="3:6" x14ac:dyDescent="0.2">
      <c r="C411" s="83"/>
      <c r="D411" s="83"/>
      <c r="E411" s="83"/>
      <c r="F411" s="85"/>
    </row>
    <row r="412" spans="3:6" x14ac:dyDescent="0.2">
      <c r="C412" s="83"/>
      <c r="D412" s="83"/>
      <c r="E412" s="83"/>
      <c r="F412" s="85"/>
    </row>
    <row r="413" spans="3:6" x14ac:dyDescent="0.2">
      <c r="C413" s="83"/>
      <c r="D413" s="83"/>
      <c r="E413" s="83"/>
      <c r="F413" s="85"/>
    </row>
    <row r="414" spans="3:6" x14ac:dyDescent="0.2">
      <c r="C414" s="83"/>
      <c r="D414" s="83"/>
      <c r="E414" s="83"/>
      <c r="F414" s="85"/>
    </row>
    <row r="415" spans="3:6" x14ac:dyDescent="0.2">
      <c r="C415" s="83"/>
      <c r="D415" s="83"/>
      <c r="E415" s="83"/>
      <c r="F415" s="85"/>
    </row>
    <row r="416" spans="3:6" x14ac:dyDescent="0.2">
      <c r="C416" s="83"/>
      <c r="D416" s="83"/>
      <c r="E416" s="83"/>
      <c r="F416" s="85"/>
    </row>
    <row r="417" spans="3:6" x14ac:dyDescent="0.2">
      <c r="C417" s="83"/>
      <c r="D417" s="83"/>
      <c r="E417" s="83"/>
      <c r="F417" s="85"/>
    </row>
    <row r="418" spans="3:6" ht="15.75" x14ac:dyDescent="0.25">
      <c r="C418" s="83"/>
      <c r="D418" s="83"/>
      <c r="E418" s="83"/>
      <c r="F418" s="87"/>
    </row>
    <row r="419" spans="3:6" ht="15.75" x14ac:dyDescent="0.25">
      <c r="C419" s="83"/>
      <c r="D419" s="83"/>
      <c r="E419" s="83"/>
      <c r="F419" s="87"/>
    </row>
    <row r="420" spans="3:6" ht="15.75" x14ac:dyDescent="0.25">
      <c r="C420" s="83"/>
      <c r="D420" s="83"/>
      <c r="E420" s="83"/>
      <c r="F420" s="87"/>
    </row>
    <row r="421" spans="3:6" ht="15.75" x14ac:dyDescent="0.25">
      <c r="C421" s="83"/>
      <c r="D421" s="83"/>
      <c r="E421" s="83"/>
      <c r="F421" s="87"/>
    </row>
    <row r="422" spans="3:6" ht="15.75" x14ac:dyDescent="0.25">
      <c r="C422" s="83"/>
      <c r="D422" s="83"/>
      <c r="E422" s="83"/>
      <c r="F422" s="87"/>
    </row>
    <row r="423" spans="3:6" ht="15.75" x14ac:dyDescent="0.25">
      <c r="C423" s="83"/>
      <c r="D423" s="83"/>
      <c r="E423" s="83"/>
      <c r="F423" s="87"/>
    </row>
    <row r="424" spans="3:6" ht="15.75" x14ac:dyDescent="0.25">
      <c r="C424" s="83"/>
      <c r="D424" s="83"/>
      <c r="E424" s="83"/>
      <c r="F424" s="87"/>
    </row>
    <row r="425" spans="3:6" ht="15.75" x14ac:dyDescent="0.25">
      <c r="C425" s="83"/>
      <c r="D425" s="83"/>
      <c r="E425" s="83"/>
      <c r="F425" s="88"/>
    </row>
    <row r="426" spans="3:6" ht="15.75" x14ac:dyDescent="0.25">
      <c r="C426" s="83"/>
      <c r="D426" s="83"/>
      <c r="E426" s="83"/>
      <c r="F426" s="88"/>
    </row>
    <row r="427" spans="3:6" ht="15.75" x14ac:dyDescent="0.25">
      <c r="C427" s="83"/>
      <c r="D427" s="83"/>
      <c r="E427" s="83"/>
      <c r="F427" s="88"/>
    </row>
    <row r="428" spans="3:6" ht="15.75" x14ac:dyDescent="0.25">
      <c r="C428" s="83"/>
      <c r="D428" s="83"/>
      <c r="E428" s="83"/>
      <c r="F428" s="88"/>
    </row>
    <row r="429" spans="3:6" ht="15.75" x14ac:dyDescent="0.25">
      <c r="C429" s="83"/>
      <c r="D429" s="83"/>
      <c r="E429" s="83"/>
      <c r="F429" s="88"/>
    </row>
    <row r="430" spans="3:6" x14ac:dyDescent="0.2">
      <c r="F430" s="84"/>
    </row>
    <row r="431" spans="3:6" x14ac:dyDescent="0.2">
      <c r="F431" s="84"/>
    </row>
    <row r="432" spans="3:6" x14ac:dyDescent="0.2">
      <c r="F432" s="84"/>
    </row>
    <row r="433" spans="6:6" x14ac:dyDescent="0.2">
      <c r="F433" s="84"/>
    </row>
    <row r="434" spans="6:6" x14ac:dyDescent="0.2">
      <c r="F434" s="84"/>
    </row>
    <row r="435" spans="6:6" x14ac:dyDescent="0.2">
      <c r="F435" s="84"/>
    </row>
    <row r="436" spans="6:6" x14ac:dyDescent="0.2">
      <c r="F436" s="84"/>
    </row>
    <row r="437" spans="6:6" x14ac:dyDescent="0.2">
      <c r="F437" s="84"/>
    </row>
    <row r="438" spans="6:6" x14ac:dyDescent="0.2">
      <c r="F438" s="84"/>
    </row>
    <row r="439" spans="6:6" x14ac:dyDescent="0.2">
      <c r="F439" s="84"/>
    </row>
    <row r="440" spans="6:6" x14ac:dyDescent="0.2">
      <c r="F440" s="84"/>
    </row>
    <row r="441" spans="6:6" x14ac:dyDescent="0.2">
      <c r="F441" s="84"/>
    </row>
    <row r="442" spans="6:6" x14ac:dyDescent="0.2">
      <c r="F442" s="84"/>
    </row>
    <row r="443" spans="6:6" x14ac:dyDescent="0.2">
      <c r="F443" s="84"/>
    </row>
    <row r="444" spans="6:6" x14ac:dyDescent="0.2">
      <c r="F444" s="84"/>
    </row>
    <row r="445" spans="6:6" x14ac:dyDescent="0.2">
      <c r="F445" s="84"/>
    </row>
    <row r="446" spans="6:6" x14ac:dyDescent="0.2">
      <c r="F446" s="84"/>
    </row>
    <row r="447" spans="6:6" x14ac:dyDescent="0.2">
      <c r="F447" s="84"/>
    </row>
    <row r="448" spans="6:6" x14ac:dyDescent="0.2">
      <c r="F448" s="84"/>
    </row>
    <row r="449" spans="6:6" x14ac:dyDescent="0.2">
      <c r="F449" s="84"/>
    </row>
    <row r="450" spans="6:6" x14ac:dyDescent="0.2">
      <c r="F450" s="84"/>
    </row>
    <row r="451" spans="6:6" x14ac:dyDescent="0.2">
      <c r="F451" s="84"/>
    </row>
    <row r="452" spans="6:6" x14ac:dyDescent="0.2">
      <c r="F452" s="84"/>
    </row>
    <row r="453" spans="6:6" x14ac:dyDescent="0.2">
      <c r="F453" s="84"/>
    </row>
    <row r="454" spans="6:6" x14ac:dyDescent="0.2">
      <c r="F454" s="84"/>
    </row>
    <row r="455" spans="6:6" x14ac:dyDescent="0.2">
      <c r="F455" s="84"/>
    </row>
    <row r="456" spans="6:6" x14ac:dyDescent="0.2">
      <c r="F456" s="84"/>
    </row>
    <row r="457" spans="6:6" x14ac:dyDescent="0.2">
      <c r="F457" s="84"/>
    </row>
    <row r="458" spans="6:6" x14ac:dyDescent="0.2">
      <c r="F458" s="84"/>
    </row>
    <row r="459" spans="6:6" x14ac:dyDescent="0.2">
      <c r="F459" s="84"/>
    </row>
    <row r="460" spans="6:6" x14ac:dyDescent="0.2">
      <c r="F460" s="84"/>
    </row>
    <row r="461" spans="6:6" x14ac:dyDescent="0.2">
      <c r="F461" s="84"/>
    </row>
    <row r="462" spans="6:6" x14ac:dyDescent="0.2">
      <c r="F462" s="84"/>
    </row>
    <row r="463" spans="6:6" x14ac:dyDescent="0.2">
      <c r="F463" s="84"/>
    </row>
    <row r="464" spans="6:6" x14ac:dyDescent="0.2">
      <c r="F464" s="84"/>
    </row>
    <row r="465" spans="6:6" x14ac:dyDescent="0.2">
      <c r="F465" s="84"/>
    </row>
    <row r="466" spans="6:6" x14ac:dyDescent="0.2">
      <c r="F466" s="84"/>
    </row>
    <row r="467" spans="6:6" x14ac:dyDescent="0.2">
      <c r="F467" s="84"/>
    </row>
    <row r="468" spans="6:6" x14ac:dyDescent="0.2">
      <c r="F468" s="84"/>
    </row>
    <row r="469" spans="6:6" x14ac:dyDescent="0.2">
      <c r="F469" s="84"/>
    </row>
    <row r="470" spans="6:6" x14ac:dyDescent="0.2">
      <c r="F470" s="84"/>
    </row>
    <row r="471" spans="6:6" x14ac:dyDescent="0.2">
      <c r="F471" s="84"/>
    </row>
    <row r="472" spans="6:6" x14ac:dyDescent="0.2">
      <c r="F472" s="84"/>
    </row>
    <row r="473" spans="6:6" x14ac:dyDescent="0.2">
      <c r="F473" s="84"/>
    </row>
    <row r="474" spans="6:6" x14ac:dyDescent="0.2">
      <c r="F474" s="84"/>
    </row>
    <row r="475" spans="6:6" x14ac:dyDescent="0.2">
      <c r="F475" s="84"/>
    </row>
    <row r="476" spans="6:6" x14ac:dyDescent="0.2">
      <c r="F476" s="84"/>
    </row>
    <row r="477" spans="6:6" x14ac:dyDescent="0.2">
      <c r="F477" s="84"/>
    </row>
    <row r="478" spans="6:6" x14ac:dyDescent="0.2">
      <c r="F478" s="84"/>
    </row>
    <row r="479" spans="6:6" x14ac:dyDescent="0.2">
      <c r="F479" s="84"/>
    </row>
    <row r="480" spans="6:6" x14ac:dyDescent="0.2">
      <c r="F480" s="84"/>
    </row>
    <row r="481" spans="6:6" x14ac:dyDescent="0.2">
      <c r="F481" s="84"/>
    </row>
    <row r="482" spans="6:6" x14ac:dyDescent="0.2">
      <c r="F482" s="84"/>
    </row>
    <row r="483" spans="6:6" x14ac:dyDescent="0.2">
      <c r="F483" s="84"/>
    </row>
    <row r="484" spans="6:6" x14ac:dyDescent="0.2">
      <c r="F484" s="84"/>
    </row>
    <row r="485" spans="6:6" x14ac:dyDescent="0.2">
      <c r="F485" s="84"/>
    </row>
    <row r="486" spans="6:6" x14ac:dyDescent="0.2">
      <c r="F486" s="84"/>
    </row>
    <row r="487" spans="6:6" x14ac:dyDescent="0.2">
      <c r="F487" s="84"/>
    </row>
    <row r="488" spans="6:6" x14ac:dyDescent="0.2">
      <c r="F488" s="84"/>
    </row>
    <row r="489" spans="6:6" x14ac:dyDescent="0.2">
      <c r="F489" s="84"/>
    </row>
    <row r="490" spans="6:6" x14ac:dyDescent="0.2">
      <c r="F490" s="84"/>
    </row>
    <row r="491" spans="6:6" x14ac:dyDescent="0.2">
      <c r="F491" s="84"/>
    </row>
    <row r="492" spans="6:6" x14ac:dyDescent="0.2">
      <c r="F492" s="84"/>
    </row>
    <row r="493" spans="6:6" x14ac:dyDescent="0.2">
      <c r="F493" s="84"/>
    </row>
    <row r="494" spans="6:6" x14ac:dyDescent="0.2">
      <c r="F494" s="84"/>
    </row>
    <row r="495" spans="6:6" x14ac:dyDescent="0.2">
      <c r="F495" s="84"/>
    </row>
    <row r="496" spans="6:6" x14ac:dyDescent="0.2">
      <c r="F496" s="84"/>
    </row>
    <row r="497" spans="6:6" x14ac:dyDescent="0.2">
      <c r="F497" s="84"/>
    </row>
    <row r="498" spans="6:6" x14ac:dyDescent="0.2">
      <c r="F498" s="84"/>
    </row>
    <row r="499" spans="6:6" x14ac:dyDescent="0.2">
      <c r="F499" s="84"/>
    </row>
    <row r="500" spans="6:6" x14ac:dyDescent="0.2">
      <c r="F500" s="84"/>
    </row>
    <row r="501" spans="6:6" x14ac:dyDescent="0.2">
      <c r="F501" s="84"/>
    </row>
    <row r="502" spans="6:6" x14ac:dyDescent="0.2">
      <c r="F502" s="84"/>
    </row>
    <row r="503" spans="6:6" x14ac:dyDescent="0.2">
      <c r="F503" s="84"/>
    </row>
    <row r="504" spans="6:6" x14ac:dyDescent="0.2">
      <c r="F504" s="84"/>
    </row>
    <row r="505" spans="6:6" x14ac:dyDescent="0.2">
      <c r="F505" s="84"/>
    </row>
    <row r="506" spans="6:6" x14ac:dyDescent="0.2">
      <c r="F506" s="84"/>
    </row>
    <row r="507" spans="6:6" x14ac:dyDescent="0.2">
      <c r="F507" s="84"/>
    </row>
    <row r="508" spans="6:6" x14ac:dyDescent="0.2">
      <c r="F508" s="84"/>
    </row>
    <row r="509" spans="6:6" x14ac:dyDescent="0.2">
      <c r="F509" s="84"/>
    </row>
    <row r="510" spans="6:6" x14ac:dyDescent="0.2">
      <c r="F510" s="84"/>
    </row>
    <row r="511" spans="6:6" x14ac:dyDescent="0.2">
      <c r="F511" s="84"/>
    </row>
    <row r="512" spans="6:6" x14ac:dyDescent="0.2">
      <c r="F512" s="84"/>
    </row>
    <row r="513" spans="6:6" x14ac:dyDescent="0.2">
      <c r="F513" s="84"/>
    </row>
    <row r="514" spans="6:6" x14ac:dyDescent="0.2">
      <c r="F514" s="84"/>
    </row>
    <row r="515" spans="6:6" x14ac:dyDescent="0.2">
      <c r="F515" s="84"/>
    </row>
    <row r="516" spans="6:6" x14ac:dyDescent="0.2">
      <c r="F516" s="84"/>
    </row>
    <row r="517" spans="6:6" x14ac:dyDescent="0.2">
      <c r="F517" s="84"/>
    </row>
    <row r="518" spans="6:6" x14ac:dyDescent="0.2">
      <c r="F518" s="84"/>
    </row>
    <row r="519" spans="6:6" x14ac:dyDescent="0.2">
      <c r="F519" s="84"/>
    </row>
    <row r="520" spans="6:6" x14ac:dyDescent="0.2">
      <c r="F520" s="84"/>
    </row>
    <row r="521" spans="6:6" x14ac:dyDescent="0.2">
      <c r="F521" s="84"/>
    </row>
    <row r="522" spans="6:6" x14ac:dyDescent="0.2">
      <c r="F522" s="84"/>
    </row>
    <row r="523" spans="6:6" x14ac:dyDescent="0.2">
      <c r="F523" s="84"/>
    </row>
    <row r="524" spans="6:6" x14ac:dyDescent="0.2">
      <c r="F524" s="84"/>
    </row>
    <row r="525" spans="6:6" x14ac:dyDescent="0.2">
      <c r="F525" s="84"/>
    </row>
    <row r="526" spans="6:6" x14ac:dyDescent="0.2">
      <c r="F526" s="84"/>
    </row>
    <row r="527" spans="6:6" x14ac:dyDescent="0.2">
      <c r="F527" s="84"/>
    </row>
    <row r="528" spans="6:6" x14ac:dyDescent="0.2">
      <c r="F528" s="84"/>
    </row>
    <row r="529" spans="6:6" x14ac:dyDescent="0.2">
      <c r="F529" s="84"/>
    </row>
    <row r="530" spans="6:6" x14ac:dyDescent="0.2">
      <c r="F530" s="84"/>
    </row>
    <row r="531" spans="6:6" x14ac:dyDescent="0.2">
      <c r="F531" s="84"/>
    </row>
    <row r="532" spans="6:6" x14ac:dyDescent="0.2">
      <c r="F532" s="84"/>
    </row>
    <row r="533" spans="6:6" x14ac:dyDescent="0.2">
      <c r="F533" s="84"/>
    </row>
    <row r="534" spans="6:6" x14ac:dyDescent="0.2">
      <c r="F534" s="84"/>
    </row>
    <row r="535" spans="6:6" x14ac:dyDescent="0.2">
      <c r="F535" s="84"/>
    </row>
    <row r="536" spans="6:6" x14ac:dyDescent="0.2">
      <c r="F536" s="84"/>
    </row>
    <row r="537" spans="6:6" x14ac:dyDescent="0.2">
      <c r="F537" s="84"/>
    </row>
    <row r="538" spans="6:6" x14ac:dyDescent="0.2">
      <c r="F538" s="84"/>
    </row>
    <row r="539" spans="6:6" x14ac:dyDescent="0.2">
      <c r="F539" s="84"/>
    </row>
    <row r="540" spans="6:6" x14ac:dyDescent="0.2">
      <c r="F540" s="84"/>
    </row>
    <row r="541" spans="6:6" x14ac:dyDescent="0.2">
      <c r="F541" s="84"/>
    </row>
    <row r="542" spans="6:6" x14ac:dyDescent="0.2">
      <c r="F542" s="84"/>
    </row>
    <row r="543" spans="6:6" x14ac:dyDescent="0.2">
      <c r="F543" s="84"/>
    </row>
    <row r="544" spans="6:6" x14ac:dyDescent="0.2">
      <c r="F544" s="84"/>
    </row>
    <row r="545" spans="6:6" x14ac:dyDescent="0.2">
      <c r="F545" s="84"/>
    </row>
    <row r="546" spans="6:6" x14ac:dyDescent="0.2">
      <c r="F546" s="84"/>
    </row>
    <row r="547" spans="6:6" x14ac:dyDescent="0.2">
      <c r="F547" s="84"/>
    </row>
    <row r="548" spans="6:6" x14ac:dyDescent="0.2">
      <c r="F548" s="84"/>
    </row>
    <row r="549" spans="6:6" x14ac:dyDescent="0.2">
      <c r="F549" s="84"/>
    </row>
    <row r="550" spans="6:6" x14ac:dyDescent="0.2">
      <c r="F550" s="84"/>
    </row>
    <row r="551" spans="6:6" x14ac:dyDescent="0.2">
      <c r="F551" s="84"/>
    </row>
    <row r="552" spans="6:6" x14ac:dyDescent="0.2">
      <c r="F552" s="84"/>
    </row>
    <row r="553" spans="6:6" x14ac:dyDescent="0.2">
      <c r="F553" s="84"/>
    </row>
    <row r="554" spans="6:6" x14ac:dyDescent="0.2">
      <c r="F554" s="84"/>
    </row>
    <row r="555" spans="6:6" x14ac:dyDescent="0.2">
      <c r="F555" s="84"/>
    </row>
    <row r="556" spans="6:6" x14ac:dyDescent="0.2">
      <c r="F556" s="84"/>
    </row>
    <row r="557" spans="6:6" x14ac:dyDescent="0.2">
      <c r="F557" s="84"/>
    </row>
    <row r="558" spans="6:6" x14ac:dyDescent="0.2">
      <c r="F558" s="84"/>
    </row>
    <row r="559" spans="6:6" x14ac:dyDescent="0.2">
      <c r="F559" s="84"/>
    </row>
    <row r="560" spans="6:6" x14ac:dyDescent="0.2">
      <c r="F560" s="84"/>
    </row>
    <row r="561" spans="6:6" x14ac:dyDescent="0.2">
      <c r="F561" s="84"/>
    </row>
    <row r="562" spans="6:6" x14ac:dyDescent="0.2">
      <c r="F562" s="84"/>
    </row>
    <row r="563" spans="6:6" x14ac:dyDescent="0.2">
      <c r="F563" s="84"/>
    </row>
    <row r="564" spans="6:6" x14ac:dyDescent="0.2">
      <c r="F564" s="84"/>
    </row>
    <row r="565" spans="6:6" x14ac:dyDescent="0.2">
      <c r="F565" s="84"/>
    </row>
    <row r="566" spans="6:6" x14ac:dyDescent="0.2">
      <c r="F566" s="84"/>
    </row>
    <row r="567" spans="6:6" x14ac:dyDescent="0.2">
      <c r="F567" s="84"/>
    </row>
    <row r="568" spans="6:6" x14ac:dyDescent="0.2">
      <c r="F568" s="84"/>
    </row>
    <row r="569" spans="6:6" x14ac:dyDescent="0.2">
      <c r="F569" s="84"/>
    </row>
    <row r="570" spans="6:6" x14ac:dyDescent="0.2">
      <c r="F570" s="84"/>
    </row>
    <row r="571" spans="6:6" x14ac:dyDescent="0.2">
      <c r="F571" s="84"/>
    </row>
    <row r="572" spans="6:6" x14ac:dyDescent="0.2">
      <c r="F572" s="84"/>
    </row>
    <row r="573" spans="6:6" x14ac:dyDescent="0.2">
      <c r="F573" s="84"/>
    </row>
    <row r="574" spans="6:6" x14ac:dyDescent="0.2">
      <c r="F574" s="84"/>
    </row>
    <row r="575" spans="6:6" x14ac:dyDescent="0.2">
      <c r="F575" s="84"/>
    </row>
    <row r="576" spans="6:6" x14ac:dyDescent="0.2">
      <c r="F576" s="84"/>
    </row>
    <row r="577" spans="6:6" x14ac:dyDescent="0.2">
      <c r="F577" s="84"/>
    </row>
    <row r="578" spans="6:6" x14ac:dyDescent="0.2">
      <c r="F578" s="84"/>
    </row>
    <row r="579" spans="6:6" x14ac:dyDescent="0.2">
      <c r="F579" s="84"/>
    </row>
    <row r="580" spans="6:6" x14ac:dyDescent="0.2">
      <c r="F580" s="84"/>
    </row>
    <row r="581" spans="6:6" x14ac:dyDescent="0.2">
      <c r="F581" s="84"/>
    </row>
    <row r="582" spans="6:6" x14ac:dyDescent="0.2">
      <c r="F582" s="84"/>
    </row>
    <row r="583" spans="6:6" x14ac:dyDescent="0.2">
      <c r="F583" s="84"/>
    </row>
    <row r="584" spans="6:6" x14ac:dyDescent="0.2">
      <c r="F584" s="84"/>
    </row>
    <row r="585" spans="6:6" x14ac:dyDescent="0.2">
      <c r="F585" s="84"/>
    </row>
    <row r="586" spans="6:6" x14ac:dyDescent="0.2">
      <c r="F586" s="84"/>
    </row>
    <row r="587" spans="6:6" x14ac:dyDescent="0.2">
      <c r="F587" s="84"/>
    </row>
    <row r="588" spans="6:6" x14ac:dyDescent="0.2">
      <c r="F588" s="84"/>
    </row>
    <row r="589" spans="6:6" x14ac:dyDescent="0.2">
      <c r="F589" s="84"/>
    </row>
    <row r="590" spans="6:6" x14ac:dyDescent="0.2">
      <c r="F590" s="84"/>
    </row>
    <row r="591" spans="6:6" x14ac:dyDescent="0.2">
      <c r="F591" s="84"/>
    </row>
    <row r="592" spans="6:6" x14ac:dyDescent="0.2">
      <c r="F592" s="84"/>
    </row>
    <row r="593" spans="6:6" x14ac:dyDescent="0.2">
      <c r="F593" s="84"/>
    </row>
    <row r="594" spans="6:6" x14ac:dyDescent="0.2">
      <c r="F594" s="84"/>
    </row>
    <row r="595" spans="6:6" x14ac:dyDescent="0.2">
      <c r="F595" s="84"/>
    </row>
    <row r="596" spans="6:6" x14ac:dyDescent="0.2">
      <c r="F596" s="84"/>
    </row>
    <row r="597" spans="6:6" x14ac:dyDescent="0.2">
      <c r="F597" s="84"/>
    </row>
    <row r="598" spans="6:6" x14ac:dyDescent="0.2">
      <c r="F598" s="84"/>
    </row>
    <row r="599" spans="6:6" x14ac:dyDescent="0.2">
      <c r="F599" s="84"/>
    </row>
    <row r="600" spans="6:6" x14ac:dyDescent="0.2">
      <c r="F600" s="84"/>
    </row>
    <row r="601" spans="6:6" x14ac:dyDescent="0.2">
      <c r="F601" s="84"/>
    </row>
    <row r="602" spans="6:6" x14ac:dyDescent="0.2">
      <c r="F602" s="84"/>
    </row>
    <row r="603" spans="6:6" x14ac:dyDescent="0.2">
      <c r="F603" s="84"/>
    </row>
    <row r="604" spans="6:6" x14ac:dyDescent="0.2">
      <c r="F604" s="84"/>
    </row>
    <row r="605" spans="6:6" x14ac:dyDescent="0.2">
      <c r="F605" s="84"/>
    </row>
    <row r="606" spans="6:6" x14ac:dyDescent="0.2">
      <c r="F606" s="84"/>
    </row>
    <row r="607" spans="6:6" x14ac:dyDescent="0.2">
      <c r="F607" s="84"/>
    </row>
    <row r="608" spans="6:6" x14ac:dyDescent="0.2">
      <c r="F608" s="84"/>
    </row>
    <row r="609" spans="6:6" x14ac:dyDescent="0.2">
      <c r="F609" s="84"/>
    </row>
    <row r="610" spans="6:6" x14ac:dyDescent="0.2">
      <c r="F610" s="84"/>
    </row>
    <row r="611" spans="6:6" x14ac:dyDescent="0.2">
      <c r="F611" s="84"/>
    </row>
    <row r="612" spans="6:6" x14ac:dyDescent="0.2">
      <c r="F612" s="84"/>
    </row>
    <row r="613" spans="6:6" x14ac:dyDescent="0.2">
      <c r="F613" s="84"/>
    </row>
    <row r="614" spans="6:6" x14ac:dyDescent="0.2">
      <c r="F614" s="84"/>
    </row>
    <row r="615" spans="6:6" x14ac:dyDescent="0.2">
      <c r="F615" s="84"/>
    </row>
    <row r="616" spans="6:6" x14ac:dyDescent="0.2">
      <c r="F616" s="84"/>
    </row>
    <row r="617" spans="6:6" x14ac:dyDescent="0.2">
      <c r="F617" s="84"/>
    </row>
    <row r="618" spans="6:6" x14ac:dyDescent="0.2">
      <c r="F618" s="84"/>
    </row>
    <row r="619" spans="6:6" x14ac:dyDescent="0.2">
      <c r="F619" s="84"/>
    </row>
    <row r="620" spans="6:6" x14ac:dyDescent="0.2">
      <c r="F620" s="84"/>
    </row>
    <row r="621" spans="6:6" x14ac:dyDescent="0.2">
      <c r="F621" s="84"/>
    </row>
    <row r="622" spans="6:6" x14ac:dyDescent="0.2">
      <c r="F622" s="84"/>
    </row>
    <row r="623" spans="6:6" x14ac:dyDescent="0.2">
      <c r="F623" s="84"/>
    </row>
    <row r="624" spans="6:6" x14ac:dyDescent="0.2">
      <c r="F624" s="84"/>
    </row>
    <row r="625" spans="6:6" x14ac:dyDescent="0.2">
      <c r="F625" s="84"/>
    </row>
    <row r="626" spans="6:6" x14ac:dyDescent="0.2">
      <c r="F626" s="84"/>
    </row>
    <row r="627" spans="6:6" x14ac:dyDescent="0.2">
      <c r="F627" s="84"/>
    </row>
    <row r="628" spans="6:6" x14ac:dyDescent="0.2">
      <c r="F628" s="84"/>
    </row>
    <row r="629" spans="6:6" x14ac:dyDescent="0.2">
      <c r="F629" s="84"/>
    </row>
    <row r="630" spans="6:6" x14ac:dyDescent="0.2">
      <c r="F630" s="84"/>
    </row>
    <row r="631" spans="6:6" x14ac:dyDescent="0.2">
      <c r="F631" s="84"/>
    </row>
    <row r="632" spans="6:6" x14ac:dyDescent="0.2">
      <c r="F632" s="84"/>
    </row>
    <row r="633" spans="6:6" x14ac:dyDescent="0.2">
      <c r="F633" s="84"/>
    </row>
    <row r="634" spans="6:6" x14ac:dyDescent="0.2">
      <c r="F634" s="84"/>
    </row>
    <row r="635" spans="6:6" x14ac:dyDescent="0.2">
      <c r="F635" s="84"/>
    </row>
    <row r="636" spans="6:6" x14ac:dyDescent="0.2">
      <c r="F636" s="84"/>
    </row>
    <row r="637" spans="6:6" x14ac:dyDescent="0.2">
      <c r="F637" s="84"/>
    </row>
    <row r="638" spans="6:6" x14ac:dyDescent="0.2">
      <c r="F638" s="84"/>
    </row>
    <row r="639" spans="6:6" x14ac:dyDescent="0.2">
      <c r="F639" s="84"/>
    </row>
    <row r="640" spans="6:6" x14ac:dyDescent="0.2">
      <c r="F640" s="84"/>
    </row>
    <row r="641" spans="6:6" x14ac:dyDescent="0.2">
      <c r="F641" s="84"/>
    </row>
    <row r="642" spans="6:6" x14ac:dyDescent="0.2">
      <c r="F642" s="84"/>
    </row>
    <row r="643" spans="6:6" x14ac:dyDescent="0.2">
      <c r="F643" s="84"/>
    </row>
    <row r="644" spans="6:6" x14ac:dyDescent="0.2">
      <c r="F644" s="84"/>
    </row>
    <row r="645" spans="6:6" x14ac:dyDescent="0.2">
      <c r="F645" s="84"/>
    </row>
    <row r="646" spans="6:6" x14ac:dyDescent="0.2">
      <c r="F646" s="84"/>
    </row>
    <row r="647" spans="6:6" x14ac:dyDescent="0.2">
      <c r="F647" s="84"/>
    </row>
    <row r="648" spans="6:6" x14ac:dyDescent="0.2">
      <c r="F648" s="84"/>
    </row>
    <row r="649" spans="6:6" x14ac:dyDescent="0.2">
      <c r="F649" s="84"/>
    </row>
    <row r="650" spans="6:6" x14ac:dyDescent="0.2">
      <c r="F650" s="84"/>
    </row>
    <row r="651" spans="6:6" x14ac:dyDescent="0.2">
      <c r="F651" s="84"/>
    </row>
    <row r="652" spans="6:6" x14ac:dyDescent="0.2">
      <c r="F652" s="84"/>
    </row>
    <row r="653" spans="6:6" x14ac:dyDescent="0.2">
      <c r="F653" s="84"/>
    </row>
    <row r="654" spans="6:6" x14ac:dyDescent="0.2">
      <c r="F654" s="84"/>
    </row>
    <row r="655" spans="6:6" x14ac:dyDescent="0.2">
      <c r="F655" s="84"/>
    </row>
    <row r="656" spans="6:6" x14ac:dyDescent="0.2">
      <c r="F656" s="84"/>
    </row>
    <row r="657" spans="6:6" x14ac:dyDescent="0.2">
      <c r="F657" s="84"/>
    </row>
    <row r="658" spans="6:6" x14ac:dyDescent="0.2">
      <c r="F658" s="84"/>
    </row>
    <row r="659" spans="6:6" x14ac:dyDescent="0.2">
      <c r="F659" s="84"/>
    </row>
    <row r="660" spans="6:6" x14ac:dyDescent="0.2">
      <c r="F660" s="84"/>
    </row>
    <row r="661" spans="6:6" x14ac:dyDescent="0.2">
      <c r="F661" s="84"/>
    </row>
    <row r="662" spans="6:6" x14ac:dyDescent="0.2">
      <c r="F662" s="84"/>
    </row>
    <row r="663" spans="6:6" x14ac:dyDescent="0.2">
      <c r="F663" s="84"/>
    </row>
    <row r="664" spans="6:6" x14ac:dyDescent="0.2">
      <c r="F664" s="84"/>
    </row>
    <row r="665" spans="6:6" x14ac:dyDescent="0.2">
      <c r="F665" s="84"/>
    </row>
    <row r="666" spans="6:6" x14ac:dyDescent="0.2">
      <c r="F666" s="84"/>
    </row>
    <row r="667" spans="6:6" x14ac:dyDescent="0.2">
      <c r="F667" s="84"/>
    </row>
    <row r="668" spans="6:6" x14ac:dyDescent="0.2">
      <c r="F668" s="84"/>
    </row>
    <row r="669" spans="6:6" x14ac:dyDescent="0.2">
      <c r="F669" s="84"/>
    </row>
    <row r="670" spans="6:6" x14ac:dyDescent="0.2">
      <c r="F670" s="84"/>
    </row>
    <row r="671" spans="6:6" x14ac:dyDescent="0.2">
      <c r="F671" s="84"/>
    </row>
    <row r="672" spans="6:6" x14ac:dyDescent="0.2">
      <c r="F672" s="84"/>
    </row>
    <row r="673" spans="6:6" x14ac:dyDescent="0.2">
      <c r="F673" s="84"/>
    </row>
    <row r="674" spans="6:6" x14ac:dyDescent="0.2">
      <c r="F674" s="84"/>
    </row>
    <row r="675" spans="6:6" x14ac:dyDescent="0.2">
      <c r="F675" s="84"/>
    </row>
    <row r="676" spans="6:6" x14ac:dyDescent="0.2">
      <c r="F676" s="84"/>
    </row>
    <row r="677" spans="6:6" x14ac:dyDescent="0.2">
      <c r="F677" s="84"/>
    </row>
    <row r="678" spans="6:6" x14ac:dyDescent="0.2">
      <c r="F678" s="84"/>
    </row>
    <row r="679" spans="6:6" x14ac:dyDescent="0.2">
      <c r="F679" s="84"/>
    </row>
    <row r="680" spans="6:6" x14ac:dyDescent="0.2">
      <c r="F680" s="84"/>
    </row>
    <row r="681" spans="6:6" x14ac:dyDescent="0.2">
      <c r="F681" s="84"/>
    </row>
    <row r="682" spans="6:6" x14ac:dyDescent="0.2">
      <c r="F682" s="84"/>
    </row>
    <row r="683" spans="6:6" x14ac:dyDescent="0.2">
      <c r="F683" s="84"/>
    </row>
    <row r="684" spans="6:6" x14ac:dyDescent="0.2">
      <c r="F684" s="84"/>
    </row>
    <row r="685" spans="6:6" x14ac:dyDescent="0.2">
      <c r="F685" s="84"/>
    </row>
    <row r="686" spans="6:6" x14ac:dyDescent="0.2">
      <c r="F686" s="84"/>
    </row>
    <row r="687" spans="6:6" x14ac:dyDescent="0.2">
      <c r="F687" s="84"/>
    </row>
    <row r="688" spans="6:6" x14ac:dyDescent="0.2">
      <c r="F688" s="84"/>
    </row>
    <row r="689" spans="6:6" x14ac:dyDescent="0.2">
      <c r="F689" s="84"/>
    </row>
    <row r="690" spans="6:6" x14ac:dyDescent="0.2">
      <c r="F690" s="84"/>
    </row>
    <row r="691" spans="6:6" x14ac:dyDescent="0.2">
      <c r="F691" s="84"/>
    </row>
    <row r="692" spans="6:6" x14ac:dyDescent="0.2">
      <c r="F692" s="84"/>
    </row>
    <row r="693" spans="6:6" x14ac:dyDescent="0.2">
      <c r="F693" s="84"/>
    </row>
    <row r="694" spans="6:6" x14ac:dyDescent="0.2">
      <c r="F694" s="84"/>
    </row>
    <row r="695" spans="6:6" x14ac:dyDescent="0.2">
      <c r="F695" s="84"/>
    </row>
    <row r="696" spans="6:6" x14ac:dyDescent="0.2">
      <c r="F696" s="84"/>
    </row>
    <row r="697" spans="6:6" x14ac:dyDescent="0.2">
      <c r="F697" s="84"/>
    </row>
    <row r="698" spans="6:6" x14ac:dyDescent="0.2">
      <c r="F698" s="84"/>
    </row>
    <row r="699" spans="6:6" x14ac:dyDescent="0.2">
      <c r="F699" s="84"/>
    </row>
    <row r="700" spans="6:6" x14ac:dyDescent="0.2">
      <c r="F700" s="84"/>
    </row>
    <row r="701" spans="6:6" x14ac:dyDescent="0.2">
      <c r="F701" s="84"/>
    </row>
    <row r="702" spans="6:6" x14ac:dyDescent="0.2">
      <c r="F702" s="84"/>
    </row>
    <row r="703" spans="6:6" x14ac:dyDescent="0.2">
      <c r="F703" s="84"/>
    </row>
    <row r="704" spans="6:6" x14ac:dyDescent="0.2">
      <c r="F704" s="84"/>
    </row>
    <row r="705" spans="6:6" x14ac:dyDescent="0.2">
      <c r="F705" s="84"/>
    </row>
    <row r="706" spans="6:6" x14ac:dyDescent="0.2">
      <c r="F706" s="84"/>
    </row>
    <row r="707" spans="6:6" x14ac:dyDescent="0.2">
      <c r="F707" s="84"/>
    </row>
    <row r="708" spans="6:6" x14ac:dyDescent="0.2">
      <c r="F708" s="84"/>
    </row>
    <row r="709" spans="6:6" x14ac:dyDescent="0.2">
      <c r="F709" s="84"/>
    </row>
    <row r="710" spans="6:6" x14ac:dyDescent="0.2">
      <c r="F710" s="84"/>
    </row>
    <row r="711" spans="6:6" x14ac:dyDescent="0.2">
      <c r="F711" s="84"/>
    </row>
    <row r="712" spans="6:6" x14ac:dyDescent="0.2">
      <c r="F712" s="84"/>
    </row>
    <row r="713" spans="6:6" x14ac:dyDescent="0.2">
      <c r="F713" s="84"/>
    </row>
    <row r="714" spans="6:6" x14ac:dyDescent="0.2">
      <c r="F714" s="84"/>
    </row>
    <row r="715" spans="6:6" x14ac:dyDescent="0.2">
      <c r="F715" s="84"/>
    </row>
    <row r="716" spans="6:6" x14ac:dyDescent="0.2">
      <c r="F716" s="84"/>
    </row>
    <row r="717" spans="6:6" x14ac:dyDescent="0.2">
      <c r="F717" s="84"/>
    </row>
    <row r="718" spans="6:6" x14ac:dyDescent="0.2">
      <c r="F718" s="84"/>
    </row>
    <row r="719" spans="6:6" x14ac:dyDescent="0.2">
      <c r="F719" s="84"/>
    </row>
    <row r="720" spans="6:6" x14ac:dyDescent="0.2">
      <c r="F720" s="84"/>
    </row>
    <row r="721" spans="6:6" x14ac:dyDescent="0.2">
      <c r="F721" s="84"/>
    </row>
    <row r="722" spans="6:6" x14ac:dyDescent="0.2">
      <c r="F722" s="84"/>
    </row>
    <row r="723" spans="6:6" x14ac:dyDescent="0.2">
      <c r="F723" s="84"/>
    </row>
    <row r="724" spans="6:6" x14ac:dyDescent="0.2">
      <c r="F724" s="84"/>
    </row>
    <row r="725" spans="6:6" x14ac:dyDescent="0.2">
      <c r="F725" s="84"/>
    </row>
    <row r="726" spans="6:6" x14ac:dyDescent="0.2">
      <c r="F726" s="84"/>
    </row>
    <row r="727" spans="6:6" x14ac:dyDescent="0.2">
      <c r="F727" s="84"/>
    </row>
    <row r="728" spans="6:6" x14ac:dyDescent="0.2">
      <c r="F728" s="84"/>
    </row>
    <row r="729" spans="6:6" x14ac:dyDescent="0.2">
      <c r="F729" s="84"/>
    </row>
    <row r="730" spans="6:6" x14ac:dyDescent="0.2">
      <c r="F730" s="84"/>
    </row>
    <row r="731" spans="6:6" x14ac:dyDescent="0.2">
      <c r="F731" s="84"/>
    </row>
    <row r="732" spans="6:6" x14ac:dyDescent="0.2">
      <c r="F732" s="84"/>
    </row>
    <row r="733" spans="6:6" x14ac:dyDescent="0.2">
      <c r="F733" s="84"/>
    </row>
    <row r="734" spans="6:6" x14ac:dyDescent="0.2">
      <c r="F734" s="84"/>
    </row>
    <row r="735" spans="6:6" x14ac:dyDescent="0.2">
      <c r="F735" s="84"/>
    </row>
    <row r="736" spans="6:6" x14ac:dyDescent="0.2">
      <c r="F736" s="84"/>
    </row>
    <row r="737" spans="6:6" x14ac:dyDescent="0.2">
      <c r="F737" s="84"/>
    </row>
    <row r="738" spans="6:6" x14ac:dyDescent="0.2">
      <c r="F738" s="84"/>
    </row>
    <row r="739" spans="6:6" x14ac:dyDescent="0.2">
      <c r="F739" s="84"/>
    </row>
    <row r="740" spans="6:6" x14ac:dyDescent="0.2">
      <c r="F740" s="84"/>
    </row>
    <row r="741" spans="6:6" x14ac:dyDescent="0.2">
      <c r="F741" s="84"/>
    </row>
    <row r="742" spans="6:6" x14ac:dyDescent="0.2">
      <c r="F742" s="84"/>
    </row>
    <row r="743" spans="6:6" x14ac:dyDescent="0.2">
      <c r="F743" s="84"/>
    </row>
    <row r="744" spans="6:6" x14ac:dyDescent="0.2">
      <c r="F744" s="84"/>
    </row>
    <row r="745" spans="6:6" x14ac:dyDescent="0.2">
      <c r="F745" s="84"/>
    </row>
    <row r="746" spans="6:6" x14ac:dyDescent="0.2">
      <c r="F746" s="84"/>
    </row>
    <row r="747" spans="6:6" x14ac:dyDescent="0.2">
      <c r="F747" s="84"/>
    </row>
    <row r="748" spans="6:6" x14ac:dyDescent="0.2">
      <c r="F748" s="84"/>
    </row>
    <row r="749" spans="6:6" x14ac:dyDescent="0.2">
      <c r="F749" s="84"/>
    </row>
    <row r="750" spans="6:6" x14ac:dyDescent="0.2">
      <c r="F750" s="84"/>
    </row>
    <row r="751" spans="6:6" x14ac:dyDescent="0.2">
      <c r="F751" s="84"/>
    </row>
    <row r="752" spans="6:6" x14ac:dyDescent="0.2">
      <c r="F752" s="84"/>
    </row>
    <row r="753" spans="6:6" x14ac:dyDescent="0.2">
      <c r="F753" s="84"/>
    </row>
    <row r="754" spans="6:6" x14ac:dyDescent="0.2">
      <c r="F754" s="84"/>
    </row>
    <row r="755" spans="6:6" x14ac:dyDescent="0.2">
      <c r="F755" s="84"/>
    </row>
    <row r="756" spans="6:6" x14ac:dyDescent="0.2">
      <c r="F756" s="84"/>
    </row>
    <row r="757" spans="6:6" x14ac:dyDescent="0.2">
      <c r="F757" s="84"/>
    </row>
    <row r="758" spans="6:6" x14ac:dyDescent="0.2">
      <c r="F758" s="84"/>
    </row>
    <row r="759" spans="6:6" x14ac:dyDescent="0.2">
      <c r="F759" s="84"/>
    </row>
    <row r="760" spans="6:6" x14ac:dyDescent="0.2">
      <c r="F760" s="84"/>
    </row>
    <row r="761" spans="6:6" x14ac:dyDescent="0.2">
      <c r="F761" s="84"/>
    </row>
    <row r="762" spans="6:6" x14ac:dyDescent="0.2">
      <c r="F762" s="84"/>
    </row>
    <row r="763" spans="6:6" x14ac:dyDescent="0.2">
      <c r="F763" s="84"/>
    </row>
    <row r="764" spans="6:6" x14ac:dyDescent="0.2">
      <c r="F764" s="84"/>
    </row>
    <row r="765" spans="6:6" x14ac:dyDescent="0.2">
      <c r="F765" s="84"/>
    </row>
    <row r="766" spans="6:6" x14ac:dyDescent="0.2">
      <c r="F766" s="84"/>
    </row>
    <row r="767" spans="6:6" x14ac:dyDescent="0.2">
      <c r="F767" s="84"/>
    </row>
    <row r="768" spans="6:6" x14ac:dyDescent="0.2">
      <c r="F768" s="84"/>
    </row>
    <row r="769" spans="6:6" x14ac:dyDescent="0.2">
      <c r="F769" s="84"/>
    </row>
    <row r="770" spans="6:6" x14ac:dyDescent="0.2">
      <c r="F770" s="84"/>
    </row>
    <row r="771" spans="6:6" x14ac:dyDescent="0.2">
      <c r="F771" s="84"/>
    </row>
    <row r="772" spans="6:6" x14ac:dyDescent="0.2">
      <c r="F772" s="84"/>
    </row>
    <row r="773" spans="6:6" x14ac:dyDescent="0.2">
      <c r="F773" s="84"/>
    </row>
    <row r="774" spans="6:6" x14ac:dyDescent="0.2">
      <c r="F774" s="84"/>
    </row>
    <row r="775" spans="6:6" x14ac:dyDescent="0.2">
      <c r="F775" s="84"/>
    </row>
    <row r="776" spans="6:6" x14ac:dyDescent="0.2">
      <c r="F776" s="84"/>
    </row>
    <row r="777" spans="6:6" x14ac:dyDescent="0.2">
      <c r="F777" s="84"/>
    </row>
    <row r="778" spans="6:6" x14ac:dyDescent="0.2">
      <c r="F778" s="84"/>
    </row>
    <row r="779" spans="6:6" x14ac:dyDescent="0.2">
      <c r="F779" s="84"/>
    </row>
    <row r="780" spans="6:6" x14ac:dyDescent="0.2">
      <c r="F780" s="84"/>
    </row>
    <row r="781" spans="6:6" x14ac:dyDescent="0.2">
      <c r="F781" s="84"/>
    </row>
    <row r="782" spans="6:6" x14ac:dyDescent="0.2">
      <c r="F782" s="84"/>
    </row>
    <row r="783" spans="6:6" x14ac:dyDescent="0.2">
      <c r="F783" s="84"/>
    </row>
    <row r="784" spans="6:6" x14ac:dyDescent="0.2">
      <c r="F784" s="84"/>
    </row>
    <row r="785" spans="6:6" x14ac:dyDescent="0.2">
      <c r="F785" s="84"/>
    </row>
    <row r="786" spans="6:6" x14ac:dyDescent="0.2">
      <c r="F786" s="84"/>
    </row>
    <row r="787" spans="6:6" x14ac:dyDescent="0.2">
      <c r="F787" s="84"/>
    </row>
    <row r="788" spans="6:6" x14ac:dyDescent="0.2">
      <c r="F788" s="84"/>
    </row>
    <row r="789" spans="6:6" x14ac:dyDescent="0.2">
      <c r="F789" s="84"/>
    </row>
    <row r="790" spans="6:6" x14ac:dyDescent="0.2">
      <c r="F790" s="84"/>
    </row>
    <row r="791" spans="6:6" x14ac:dyDescent="0.2">
      <c r="F791" s="84"/>
    </row>
    <row r="792" spans="6:6" x14ac:dyDescent="0.2">
      <c r="F792" s="84"/>
    </row>
    <row r="793" spans="6:6" x14ac:dyDescent="0.2">
      <c r="F793" s="84"/>
    </row>
    <row r="794" spans="6:6" x14ac:dyDescent="0.2">
      <c r="F794" s="84"/>
    </row>
    <row r="795" spans="6:6" x14ac:dyDescent="0.2">
      <c r="F795" s="84"/>
    </row>
    <row r="796" spans="6:6" x14ac:dyDescent="0.2">
      <c r="F796" s="84"/>
    </row>
    <row r="797" spans="6:6" x14ac:dyDescent="0.2">
      <c r="F797" s="84"/>
    </row>
    <row r="798" spans="6:6" x14ac:dyDescent="0.2">
      <c r="F798" s="84"/>
    </row>
    <row r="799" spans="6:6" x14ac:dyDescent="0.2">
      <c r="F799" s="84"/>
    </row>
    <row r="800" spans="6:6" x14ac:dyDescent="0.2">
      <c r="F800" s="84"/>
    </row>
    <row r="801" spans="6:6" x14ac:dyDescent="0.2">
      <c r="F801" s="84"/>
    </row>
    <row r="802" spans="6:6" x14ac:dyDescent="0.2">
      <c r="F802" s="84"/>
    </row>
    <row r="803" spans="6:6" x14ac:dyDescent="0.2">
      <c r="F803" s="84"/>
    </row>
    <row r="804" spans="6:6" x14ac:dyDescent="0.2">
      <c r="F804" s="84"/>
    </row>
    <row r="805" spans="6:6" x14ac:dyDescent="0.2">
      <c r="F805" s="84"/>
    </row>
    <row r="806" spans="6:6" x14ac:dyDescent="0.2">
      <c r="F806" s="84"/>
    </row>
    <row r="807" spans="6:6" x14ac:dyDescent="0.2">
      <c r="F807" s="84"/>
    </row>
    <row r="808" spans="6:6" x14ac:dyDescent="0.2">
      <c r="F808" s="84"/>
    </row>
    <row r="809" spans="6:6" x14ac:dyDescent="0.2">
      <c r="F809" s="84"/>
    </row>
    <row r="810" spans="6:6" x14ac:dyDescent="0.2">
      <c r="F810" s="84"/>
    </row>
    <row r="811" spans="6:6" x14ac:dyDescent="0.2">
      <c r="F811" s="84"/>
    </row>
    <row r="812" spans="6:6" x14ac:dyDescent="0.2">
      <c r="F812" s="84"/>
    </row>
    <row r="813" spans="6:6" x14ac:dyDescent="0.2">
      <c r="F813" s="84"/>
    </row>
    <row r="814" spans="6:6" x14ac:dyDescent="0.2">
      <c r="F814" s="84"/>
    </row>
    <row r="815" spans="6:6" x14ac:dyDescent="0.2">
      <c r="F815" s="84"/>
    </row>
    <row r="816" spans="6:6" x14ac:dyDescent="0.2">
      <c r="F816" s="84"/>
    </row>
    <row r="817" spans="6:6" x14ac:dyDescent="0.2">
      <c r="F817" s="84"/>
    </row>
    <row r="818" spans="6:6" x14ac:dyDescent="0.2">
      <c r="F818" s="84"/>
    </row>
    <row r="819" spans="6:6" x14ac:dyDescent="0.2">
      <c r="F819" s="84"/>
    </row>
    <row r="820" spans="6:6" x14ac:dyDescent="0.2">
      <c r="F820" s="84"/>
    </row>
    <row r="821" spans="6:6" x14ac:dyDescent="0.2">
      <c r="F821" s="84"/>
    </row>
    <row r="822" spans="6:6" x14ac:dyDescent="0.2">
      <c r="F822" s="84"/>
    </row>
    <row r="823" spans="6:6" x14ac:dyDescent="0.2">
      <c r="F823" s="84"/>
    </row>
    <row r="824" spans="6:6" x14ac:dyDescent="0.2">
      <c r="F824" s="84"/>
    </row>
    <row r="825" spans="6:6" x14ac:dyDescent="0.2">
      <c r="F825" s="84"/>
    </row>
    <row r="826" spans="6:6" x14ac:dyDescent="0.2">
      <c r="F826" s="84"/>
    </row>
    <row r="827" spans="6:6" x14ac:dyDescent="0.2">
      <c r="F827" s="84"/>
    </row>
    <row r="828" spans="6:6" x14ac:dyDescent="0.2">
      <c r="F828" s="84"/>
    </row>
    <row r="829" spans="6:6" x14ac:dyDescent="0.2">
      <c r="F829" s="84"/>
    </row>
    <row r="830" spans="6:6" x14ac:dyDescent="0.2">
      <c r="F830" s="84"/>
    </row>
    <row r="831" spans="6:6" x14ac:dyDescent="0.2">
      <c r="F831" s="84"/>
    </row>
    <row r="832" spans="6:6" x14ac:dyDescent="0.2">
      <c r="F832" s="84"/>
    </row>
    <row r="833" spans="6:6" x14ac:dyDescent="0.2">
      <c r="F833" s="84"/>
    </row>
    <row r="834" spans="6:6" x14ac:dyDescent="0.2">
      <c r="F834" s="84"/>
    </row>
    <row r="835" spans="6:6" x14ac:dyDescent="0.2">
      <c r="F835" s="84"/>
    </row>
    <row r="836" spans="6:6" x14ac:dyDescent="0.2">
      <c r="F836" s="84"/>
    </row>
    <row r="837" spans="6:6" x14ac:dyDescent="0.2">
      <c r="F837" s="84"/>
    </row>
    <row r="838" spans="6:6" x14ac:dyDescent="0.2">
      <c r="F838" s="84"/>
    </row>
    <row r="839" spans="6:6" x14ac:dyDescent="0.2">
      <c r="F839" s="84"/>
    </row>
    <row r="840" spans="6:6" x14ac:dyDescent="0.2">
      <c r="F840" s="84"/>
    </row>
    <row r="841" spans="6:6" x14ac:dyDescent="0.2">
      <c r="F841" s="84"/>
    </row>
    <row r="842" spans="6:6" x14ac:dyDescent="0.2">
      <c r="F842" s="84"/>
    </row>
    <row r="843" spans="6:6" x14ac:dyDescent="0.2">
      <c r="F843" s="84"/>
    </row>
    <row r="844" spans="6:6" x14ac:dyDescent="0.2">
      <c r="F844" s="84"/>
    </row>
    <row r="845" spans="6:6" x14ac:dyDescent="0.2">
      <c r="F845" s="84"/>
    </row>
    <row r="846" spans="6:6" x14ac:dyDescent="0.2">
      <c r="F846" s="84"/>
    </row>
    <row r="847" spans="6:6" x14ac:dyDescent="0.2">
      <c r="F847" s="84"/>
    </row>
    <row r="848" spans="6:6" x14ac:dyDescent="0.2">
      <c r="F848" s="84"/>
    </row>
    <row r="849" spans="6:6" x14ac:dyDescent="0.2">
      <c r="F849" s="84"/>
    </row>
    <row r="850" spans="6:6" x14ac:dyDescent="0.2">
      <c r="F850" s="84"/>
    </row>
    <row r="851" spans="6:6" x14ac:dyDescent="0.2">
      <c r="F851" s="84"/>
    </row>
    <row r="852" spans="6:6" x14ac:dyDescent="0.2">
      <c r="F852" s="84"/>
    </row>
    <row r="853" spans="6:6" x14ac:dyDescent="0.2">
      <c r="F853" s="84"/>
    </row>
    <row r="854" spans="6:6" x14ac:dyDescent="0.2">
      <c r="F854" s="84"/>
    </row>
    <row r="855" spans="6:6" x14ac:dyDescent="0.2">
      <c r="F855" s="84"/>
    </row>
    <row r="856" spans="6:6" x14ac:dyDescent="0.2">
      <c r="F856" s="84"/>
    </row>
    <row r="857" spans="6:6" x14ac:dyDescent="0.2">
      <c r="F857" s="84"/>
    </row>
    <row r="858" spans="6:6" x14ac:dyDescent="0.2">
      <c r="F858" s="84"/>
    </row>
    <row r="859" spans="6:6" x14ac:dyDescent="0.2">
      <c r="F859" s="84"/>
    </row>
    <row r="860" spans="6:6" x14ac:dyDescent="0.2">
      <c r="F860" s="84"/>
    </row>
    <row r="861" spans="6:6" x14ac:dyDescent="0.2">
      <c r="F861" s="84"/>
    </row>
    <row r="862" spans="6:6" x14ac:dyDescent="0.2">
      <c r="F862" s="84"/>
    </row>
    <row r="863" spans="6:6" x14ac:dyDescent="0.2">
      <c r="F863" s="84"/>
    </row>
    <row r="864" spans="6:6" x14ac:dyDescent="0.2">
      <c r="F864" s="84"/>
    </row>
    <row r="865" spans="6:6" x14ac:dyDescent="0.2">
      <c r="F865" s="84"/>
    </row>
    <row r="866" spans="6:6" x14ac:dyDescent="0.2">
      <c r="F866" s="84"/>
    </row>
    <row r="867" spans="6:6" x14ac:dyDescent="0.2">
      <c r="F867" s="84"/>
    </row>
    <row r="868" spans="6:6" x14ac:dyDescent="0.2">
      <c r="F868" s="84"/>
    </row>
    <row r="869" spans="6:6" x14ac:dyDescent="0.2">
      <c r="F869" s="84"/>
    </row>
    <row r="870" spans="6:6" x14ac:dyDescent="0.2">
      <c r="F870" s="84"/>
    </row>
    <row r="871" spans="6:6" x14ac:dyDescent="0.2">
      <c r="F871" s="84"/>
    </row>
    <row r="872" spans="6:6" x14ac:dyDescent="0.2">
      <c r="F872" s="84"/>
    </row>
    <row r="873" spans="6:6" x14ac:dyDescent="0.2">
      <c r="F873" s="84"/>
    </row>
    <row r="874" spans="6:6" x14ac:dyDescent="0.2">
      <c r="F874" s="84"/>
    </row>
    <row r="875" spans="6:6" x14ac:dyDescent="0.2">
      <c r="F875" s="84"/>
    </row>
    <row r="876" spans="6:6" x14ac:dyDescent="0.2">
      <c r="F876" s="84"/>
    </row>
    <row r="877" spans="6:6" x14ac:dyDescent="0.2">
      <c r="F877" s="84"/>
    </row>
    <row r="878" spans="6:6" x14ac:dyDescent="0.2">
      <c r="F878" s="84"/>
    </row>
    <row r="879" spans="6:6" x14ac:dyDescent="0.2">
      <c r="F879" s="84"/>
    </row>
    <row r="880" spans="6:6" x14ac:dyDescent="0.2">
      <c r="F880" s="84"/>
    </row>
    <row r="881" spans="6:6" x14ac:dyDescent="0.2">
      <c r="F881" s="84"/>
    </row>
    <row r="882" spans="6:6" x14ac:dyDescent="0.2">
      <c r="F882" s="84"/>
    </row>
    <row r="883" spans="6:6" x14ac:dyDescent="0.2">
      <c r="F883" s="84"/>
    </row>
    <row r="884" spans="6:6" x14ac:dyDescent="0.2">
      <c r="F884" s="84"/>
    </row>
    <row r="885" spans="6:6" x14ac:dyDescent="0.2">
      <c r="F885" s="84"/>
    </row>
    <row r="886" spans="6:6" x14ac:dyDescent="0.2">
      <c r="F886" s="84"/>
    </row>
    <row r="887" spans="6:6" x14ac:dyDescent="0.2">
      <c r="F887" s="84"/>
    </row>
    <row r="888" spans="6:6" x14ac:dyDescent="0.2">
      <c r="F888" s="84"/>
    </row>
    <row r="889" spans="6:6" x14ac:dyDescent="0.2">
      <c r="F889" s="84"/>
    </row>
    <row r="890" spans="6:6" x14ac:dyDescent="0.2">
      <c r="F890" s="84"/>
    </row>
    <row r="891" spans="6:6" x14ac:dyDescent="0.2">
      <c r="F891" s="84"/>
    </row>
    <row r="892" spans="6:6" x14ac:dyDescent="0.2">
      <c r="F892" s="84"/>
    </row>
    <row r="893" spans="6:6" x14ac:dyDescent="0.2">
      <c r="F893" s="84"/>
    </row>
    <row r="894" spans="6:6" x14ac:dyDescent="0.2">
      <c r="F894" s="84"/>
    </row>
    <row r="895" spans="6:6" x14ac:dyDescent="0.2">
      <c r="F895" s="84"/>
    </row>
    <row r="896" spans="6:6" x14ac:dyDescent="0.2">
      <c r="F896" s="84"/>
    </row>
    <row r="897" spans="6:6" x14ac:dyDescent="0.2">
      <c r="F897" s="84"/>
    </row>
    <row r="898" spans="6:6" x14ac:dyDescent="0.2">
      <c r="F898" s="84"/>
    </row>
    <row r="899" spans="6:6" x14ac:dyDescent="0.2">
      <c r="F899" s="84"/>
    </row>
    <row r="900" spans="6:6" x14ac:dyDescent="0.2">
      <c r="F900" s="84"/>
    </row>
    <row r="901" spans="6:6" x14ac:dyDescent="0.2">
      <c r="F901" s="84"/>
    </row>
    <row r="902" spans="6:6" x14ac:dyDescent="0.2">
      <c r="F902" s="84"/>
    </row>
    <row r="903" spans="6:6" x14ac:dyDescent="0.2">
      <c r="F903" s="84"/>
    </row>
    <row r="904" spans="6:6" x14ac:dyDescent="0.2">
      <c r="F904" s="84"/>
    </row>
    <row r="905" spans="6:6" x14ac:dyDescent="0.2">
      <c r="F905" s="84"/>
    </row>
    <row r="906" spans="6:6" x14ac:dyDescent="0.2">
      <c r="F906" s="84"/>
    </row>
    <row r="907" spans="6:6" x14ac:dyDescent="0.2">
      <c r="F907" s="84"/>
    </row>
    <row r="908" spans="6:6" x14ac:dyDescent="0.2">
      <c r="F908" s="84"/>
    </row>
    <row r="909" spans="6:6" x14ac:dyDescent="0.2">
      <c r="F909" s="84"/>
    </row>
    <row r="910" spans="6:6" x14ac:dyDescent="0.2">
      <c r="F910" s="84"/>
    </row>
    <row r="911" spans="6:6" x14ac:dyDescent="0.2">
      <c r="F911" s="84"/>
    </row>
    <row r="912" spans="6:6" x14ac:dyDescent="0.2">
      <c r="F912" s="84"/>
    </row>
    <row r="913" spans="6:6" x14ac:dyDescent="0.2">
      <c r="F913" s="84"/>
    </row>
    <row r="914" spans="6:6" x14ac:dyDescent="0.2">
      <c r="F914" s="84"/>
    </row>
    <row r="915" spans="6:6" x14ac:dyDescent="0.2">
      <c r="F915" s="84"/>
    </row>
    <row r="916" spans="6:6" x14ac:dyDescent="0.2">
      <c r="F916" s="84"/>
    </row>
    <row r="917" spans="6:6" x14ac:dyDescent="0.2">
      <c r="F917" s="84"/>
    </row>
    <row r="918" spans="6:6" x14ac:dyDescent="0.2">
      <c r="F918" s="84"/>
    </row>
    <row r="919" spans="6:6" x14ac:dyDescent="0.2">
      <c r="F919" s="84"/>
    </row>
    <row r="920" spans="6:6" x14ac:dyDescent="0.2">
      <c r="F920" s="84"/>
    </row>
    <row r="921" spans="6:6" x14ac:dyDescent="0.2">
      <c r="F921" s="84"/>
    </row>
    <row r="922" spans="6:6" x14ac:dyDescent="0.2">
      <c r="F922" s="84"/>
    </row>
    <row r="923" spans="6:6" x14ac:dyDescent="0.2">
      <c r="F923" s="84"/>
    </row>
    <row r="924" spans="6:6" x14ac:dyDescent="0.2">
      <c r="F924" s="84"/>
    </row>
    <row r="925" spans="6:6" x14ac:dyDescent="0.2">
      <c r="F925" s="84"/>
    </row>
    <row r="926" spans="6:6" x14ac:dyDescent="0.2">
      <c r="F926" s="84"/>
    </row>
    <row r="927" spans="6:6" x14ac:dyDescent="0.2">
      <c r="F927" s="84"/>
    </row>
    <row r="928" spans="6:6" x14ac:dyDescent="0.2">
      <c r="F928" s="84"/>
    </row>
    <row r="929" spans="6:6" x14ac:dyDescent="0.2">
      <c r="F929" s="84"/>
    </row>
    <row r="930" spans="6:6" x14ac:dyDescent="0.2">
      <c r="F930" s="84"/>
    </row>
    <row r="931" spans="6:6" x14ac:dyDescent="0.2">
      <c r="F931" s="84"/>
    </row>
    <row r="932" spans="6:6" x14ac:dyDescent="0.2">
      <c r="F932" s="84"/>
    </row>
    <row r="933" spans="6:6" x14ac:dyDescent="0.2">
      <c r="F933" s="84"/>
    </row>
    <row r="934" spans="6:6" x14ac:dyDescent="0.2">
      <c r="F934" s="84"/>
    </row>
    <row r="935" spans="6:6" x14ac:dyDescent="0.2">
      <c r="F935" s="84"/>
    </row>
    <row r="936" spans="6:6" x14ac:dyDescent="0.2">
      <c r="F936" s="84"/>
    </row>
    <row r="937" spans="6:6" x14ac:dyDescent="0.2">
      <c r="F937" s="84"/>
    </row>
    <row r="938" spans="6:6" x14ac:dyDescent="0.2">
      <c r="F938" s="84"/>
    </row>
    <row r="939" spans="6:6" x14ac:dyDescent="0.2">
      <c r="F939" s="84"/>
    </row>
    <row r="940" spans="6:6" x14ac:dyDescent="0.2">
      <c r="F940" s="84"/>
    </row>
    <row r="941" spans="6:6" x14ac:dyDescent="0.2">
      <c r="F941" s="84"/>
    </row>
    <row r="942" spans="6:6" x14ac:dyDescent="0.2">
      <c r="F942" s="84"/>
    </row>
    <row r="943" spans="6:6" x14ac:dyDescent="0.2">
      <c r="F943" s="84"/>
    </row>
    <row r="944" spans="6:6" x14ac:dyDescent="0.2">
      <c r="F944" s="84"/>
    </row>
    <row r="945" spans="6:6" x14ac:dyDescent="0.2">
      <c r="F945" s="84"/>
    </row>
    <row r="946" spans="6:6" x14ac:dyDescent="0.2">
      <c r="F946" s="84"/>
    </row>
    <row r="947" spans="6:6" x14ac:dyDescent="0.2">
      <c r="F947" s="84"/>
    </row>
    <row r="948" spans="6:6" x14ac:dyDescent="0.2">
      <c r="F948" s="84"/>
    </row>
    <row r="949" spans="6:6" x14ac:dyDescent="0.2">
      <c r="F949" s="84"/>
    </row>
    <row r="950" spans="6:6" x14ac:dyDescent="0.2">
      <c r="F950" s="84"/>
    </row>
    <row r="951" spans="6:6" x14ac:dyDescent="0.2">
      <c r="F951" s="84"/>
    </row>
    <row r="952" spans="6:6" x14ac:dyDescent="0.2">
      <c r="F952" s="84"/>
    </row>
    <row r="953" spans="6:6" x14ac:dyDescent="0.2">
      <c r="F953" s="84"/>
    </row>
    <row r="954" spans="6:6" x14ac:dyDescent="0.2">
      <c r="F954" s="84"/>
    </row>
    <row r="955" spans="6:6" x14ac:dyDescent="0.2">
      <c r="F955" s="84"/>
    </row>
    <row r="956" spans="6:6" x14ac:dyDescent="0.2">
      <c r="F956" s="84"/>
    </row>
    <row r="957" spans="6:6" x14ac:dyDescent="0.2">
      <c r="F957" s="84"/>
    </row>
    <row r="958" spans="6:6" x14ac:dyDescent="0.2">
      <c r="F958" s="84"/>
    </row>
    <row r="959" spans="6:6" x14ac:dyDescent="0.2">
      <c r="F959" s="84"/>
    </row>
    <row r="960" spans="6:6" x14ac:dyDescent="0.2">
      <c r="F960" s="84"/>
    </row>
    <row r="961" spans="6:6" x14ac:dyDescent="0.2">
      <c r="F961" s="84"/>
    </row>
    <row r="962" spans="6:6" x14ac:dyDescent="0.2">
      <c r="F962" s="84"/>
    </row>
    <row r="963" spans="6:6" x14ac:dyDescent="0.2">
      <c r="F963" s="84"/>
    </row>
    <row r="964" spans="6:6" x14ac:dyDescent="0.2">
      <c r="F964" s="84"/>
    </row>
    <row r="965" spans="6:6" x14ac:dyDescent="0.2">
      <c r="F965" s="84"/>
    </row>
    <row r="966" spans="6:6" x14ac:dyDescent="0.2">
      <c r="F966" s="84"/>
    </row>
    <row r="967" spans="6:6" x14ac:dyDescent="0.2">
      <c r="F967" s="84"/>
    </row>
    <row r="968" spans="6:6" x14ac:dyDescent="0.2">
      <c r="F968" s="84"/>
    </row>
    <row r="969" spans="6:6" x14ac:dyDescent="0.2">
      <c r="F969" s="84"/>
    </row>
    <row r="970" spans="6:6" x14ac:dyDescent="0.2">
      <c r="F970" s="84"/>
    </row>
    <row r="971" spans="6:6" x14ac:dyDescent="0.2">
      <c r="F971" s="84"/>
    </row>
    <row r="972" spans="6:6" x14ac:dyDescent="0.2">
      <c r="F972" s="84"/>
    </row>
    <row r="973" spans="6:6" x14ac:dyDescent="0.2">
      <c r="F973" s="84"/>
    </row>
    <row r="974" spans="6:6" x14ac:dyDescent="0.2">
      <c r="F974" s="84"/>
    </row>
    <row r="975" spans="6:6" x14ac:dyDescent="0.2">
      <c r="F975" s="84"/>
    </row>
    <row r="976" spans="6:6" x14ac:dyDescent="0.2">
      <c r="F976" s="84"/>
    </row>
    <row r="977" spans="6:6" x14ac:dyDescent="0.2">
      <c r="F977" s="84"/>
    </row>
    <row r="978" spans="6:6" x14ac:dyDescent="0.2">
      <c r="F978" s="84"/>
    </row>
    <row r="979" spans="6:6" x14ac:dyDescent="0.2">
      <c r="F979" s="84"/>
    </row>
    <row r="980" spans="6:6" x14ac:dyDescent="0.2">
      <c r="F980" s="84"/>
    </row>
    <row r="981" spans="6:6" x14ac:dyDescent="0.2">
      <c r="F981" s="84"/>
    </row>
    <row r="982" spans="6:6" x14ac:dyDescent="0.2">
      <c r="F982" s="84"/>
    </row>
    <row r="983" spans="6:6" x14ac:dyDescent="0.2">
      <c r="F983" s="84"/>
    </row>
    <row r="984" spans="6:6" x14ac:dyDescent="0.2">
      <c r="F984" s="84"/>
    </row>
    <row r="985" spans="6:6" x14ac:dyDescent="0.2">
      <c r="F985" s="84"/>
    </row>
    <row r="986" spans="6:6" x14ac:dyDescent="0.2">
      <c r="F986" s="84"/>
    </row>
    <row r="987" spans="6:6" x14ac:dyDescent="0.2">
      <c r="F987" s="84"/>
    </row>
    <row r="988" spans="6:6" x14ac:dyDescent="0.2">
      <c r="F988" s="84"/>
    </row>
    <row r="989" spans="6:6" x14ac:dyDescent="0.2">
      <c r="F989" s="84"/>
    </row>
    <row r="990" spans="6:6" x14ac:dyDescent="0.2">
      <c r="F990" s="84"/>
    </row>
    <row r="991" spans="6:6" x14ac:dyDescent="0.2">
      <c r="F991" s="84"/>
    </row>
    <row r="992" spans="6:6" x14ac:dyDescent="0.2">
      <c r="F992" s="84"/>
    </row>
    <row r="993" spans="6:6" x14ac:dyDescent="0.2">
      <c r="F993" s="84"/>
    </row>
    <row r="994" spans="6:6" x14ac:dyDescent="0.2">
      <c r="F994" s="84"/>
    </row>
    <row r="995" spans="6:6" x14ac:dyDescent="0.2">
      <c r="F995" s="84"/>
    </row>
    <row r="996" spans="6:6" x14ac:dyDescent="0.2">
      <c r="F996" s="84"/>
    </row>
    <row r="997" spans="6:6" x14ac:dyDescent="0.2">
      <c r="F997" s="84"/>
    </row>
    <row r="998" spans="6:6" x14ac:dyDescent="0.2">
      <c r="F998" s="84"/>
    </row>
    <row r="999" spans="6:6" x14ac:dyDescent="0.2">
      <c r="F999" s="84"/>
    </row>
    <row r="1000" spans="6:6" x14ac:dyDescent="0.2">
      <c r="F1000" s="84"/>
    </row>
    <row r="1001" spans="6:6" x14ac:dyDescent="0.2">
      <c r="F1001" s="84"/>
    </row>
    <row r="1002" spans="6:6" x14ac:dyDescent="0.2">
      <c r="F1002" s="84"/>
    </row>
    <row r="1003" spans="6:6" x14ac:dyDescent="0.2">
      <c r="F1003" s="84"/>
    </row>
    <row r="1004" spans="6:6" x14ac:dyDescent="0.2">
      <c r="F1004" s="84"/>
    </row>
    <row r="1005" spans="6:6" x14ac:dyDescent="0.2">
      <c r="F1005" s="84"/>
    </row>
    <row r="1006" spans="6:6" x14ac:dyDescent="0.2">
      <c r="F1006" s="84"/>
    </row>
    <row r="1007" spans="6:6" x14ac:dyDescent="0.2">
      <c r="F1007" s="84"/>
    </row>
    <row r="1008" spans="6:6" x14ac:dyDescent="0.2">
      <c r="F1008" s="84"/>
    </row>
    <row r="1009" spans="6:6" x14ac:dyDescent="0.2">
      <c r="F1009" s="84"/>
    </row>
    <row r="1010" spans="6:6" x14ac:dyDescent="0.2">
      <c r="F1010" s="84"/>
    </row>
    <row r="1011" spans="6:6" x14ac:dyDescent="0.2">
      <c r="F1011" s="84"/>
    </row>
    <row r="1012" spans="6:6" x14ac:dyDescent="0.2">
      <c r="F1012" s="84"/>
    </row>
    <row r="1013" spans="6:6" x14ac:dyDescent="0.2">
      <c r="F1013" s="84"/>
    </row>
    <row r="1014" spans="6:6" x14ac:dyDescent="0.2">
      <c r="F1014" s="84"/>
    </row>
    <row r="1015" spans="6:6" x14ac:dyDescent="0.2">
      <c r="F1015" s="84"/>
    </row>
    <row r="1016" spans="6:6" x14ac:dyDescent="0.2">
      <c r="F1016" s="84"/>
    </row>
    <row r="1017" spans="6:6" x14ac:dyDescent="0.2">
      <c r="F1017" s="84"/>
    </row>
    <row r="1018" spans="6:6" x14ac:dyDescent="0.2">
      <c r="F1018" s="84"/>
    </row>
    <row r="1019" spans="6:6" x14ac:dyDescent="0.2">
      <c r="F1019" s="84"/>
    </row>
    <row r="1020" spans="6:6" x14ac:dyDescent="0.2">
      <c r="F1020" s="84"/>
    </row>
    <row r="1021" spans="6:6" x14ac:dyDescent="0.2">
      <c r="F1021" s="84"/>
    </row>
    <row r="1022" spans="6:6" x14ac:dyDescent="0.2">
      <c r="F1022" s="84"/>
    </row>
    <row r="1023" spans="6:6" x14ac:dyDescent="0.2">
      <c r="F1023" s="84"/>
    </row>
    <row r="1024" spans="6:6" x14ac:dyDescent="0.2">
      <c r="F1024" s="84"/>
    </row>
    <row r="1025" spans="6:6" x14ac:dyDescent="0.2">
      <c r="F1025" s="84"/>
    </row>
    <row r="1026" spans="6:6" x14ac:dyDescent="0.2">
      <c r="F1026" s="84"/>
    </row>
    <row r="1027" spans="6:6" x14ac:dyDescent="0.2">
      <c r="F1027" s="84"/>
    </row>
    <row r="1028" spans="6:6" x14ac:dyDescent="0.2">
      <c r="F1028" s="84"/>
    </row>
    <row r="1029" spans="6:6" x14ac:dyDescent="0.2">
      <c r="F1029" s="84"/>
    </row>
    <row r="1030" spans="6:6" x14ac:dyDescent="0.2">
      <c r="F1030" s="84"/>
    </row>
    <row r="1031" spans="6:6" x14ac:dyDescent="0.2">
      <c r="F1031" s="84"/>
    </row>
    <row r="1032" spans="6:6" x14ac:dyDescent="0.2">
      <c r="F1032" s="84"/>
    </row>
    <row r="1033" spans="6:6" x14ac:dyDescent="0.2">
      <c r="F1033" s="84"/>
    </row>
    <row r="1034" spans="6:6" x14ac:dyDescent="0.2">
      <c r="F1034" s="84"/>
    </row>
    <row r="1035" spans="6:6" x14ac:dyDescent="0.2">
      <c r="F1035" s="84"/>
    </row>
    <row r="1036" spans="6:6" x14ac:dyDescent="0.2">
      <c r="F1036" s="84"/>
    </row>
    <row r="1037" spans="6:6" x14ac:dyDescent="0.2">
      <c r="F1037" s="84"/>
    </row>
    <row r="1038" spans="6:6" x14ac:dyDescent="0.2">
      <c r="F1038" s="84"/>
    </row>
    <row r="1039" spans="6:6" x14ac:dyDescent="0.2">
      <c r="F1039" s="84"/>
    </row>
    <row r="1040" spans="6:6" x14ac:dyDescent="0.2">
      <c r="F1040" s="84"/>
    </row>
    <row r="1041" spans="6:6" x14ac:dyDescent="0.2">
      <c r="F1041" s="84"/>
    </row>
    <row r="1042" spans="6:6" x14ac:dyDescent="0.2">
      <c r="F1042" s="84"/>
    </row>
    <row r="1043" spans="6:6" x14ac:dyDescent="0.2">
      <c r="F1043" s="84"/>
    </row>
    <row r="1044" spans="6:6" x14ac:dyDescent="0.2">
      <c r="F1044" s="84"/>
    </row>
    <row r="1045" spans="6:6" x14ac:dyDescent="0.2">
      <c r="F1045" s="84"/>
    </row>
    <row r="1046" spans="6:6" x14ac:dyDescent="0.2">
      <c r="F1046" s="84"/>
    </row>
    <row r="1047" spans="6:6" x14ac:dyDescent="0.2">
      <c r="F1047" s="84"/>
    </row>
    <row r="1048" spans="6:6" x14ac:dyDescent="0.2">
      <c r="F1048" s="84"/>
    </row>
    <row r="1049" spans="6:6" x14ac:dyDescent="0.2">
      <c r="F1049" s="84"/>
    </row>
    <row r="1050" spans="6:6" x14ac:dyDescent="0.2">
      <c r="F1050" s="84"/>
    </row>
    <row r="1051" spans="6:6" x14ac:dyDescent="0.2">
      <c r="F1051" s="84"/>
    </row>
    <row r="1052" spans="6:6" x14ac:dyDescent="0.2">
      <c r="F1052" s="84"/>
    </row>
    <row r="1053" spans="6:6" x14ac:dyDescent="0.2">
      <c r="F1053" s="84"/>
    </row>
    <row r="1054" spans="6:6" x14ac:dyDescent="0.2">
      <c r="F1054" s="84"/>
    </row>
    <row r="1055" spans="6:6" x14ac:dyDescent="0.2">
      <c r="F1055" s="84"/>
    </row>
    <row r="1056" spans="6:6" x14ac:dyDescent="0.2">
      <c r="F1056" s="84"/>
    </row>
    <row r="1057" spans="6:6" x14ac:dyDescent="0.2">
      <c r="F1057" s="84"/>
    </row>
    <row r="1058" spans="6:6" x14ac:dyDescent="0.2">
      <c r="F1058" s="84"/>
    </row>
    <row r="1059" spans="6:6" x14ac:dyDescent="0.2">
      <c r="F1059" s="84"/>
    </row>
    <row r="1060" spans="6:6" x14ac:dyDescent="0.2">
      <c r="F1060" s="84"/>
    </row>
    <row r="1061" spans="6:6" x14ac:dyDescent="0.2">
      <c r="F1061" s="84"/>
    </row>
    <row r="1062" spans="6:6" x14ac:dyDescent="0.2">
      <c r="F1062" s="84"/>
    </row>
    <row r="1063" spans="6:6" x14ac:dyDescent="0.2">
      <c r="F1063" s="84"/>
    </row>
    <row r="1064" spans="6:6" x14ac:dyDescent="0.2">
      <c r="F1064" s="84"/>
    </row>
    <row r="1065" spans="6:6" x14ac:dyDescent="0.2">
      <c r="F1065" s="84"/>
    </row>
    <row r="1066" spans="6:6" x14ac:dyDescent="0.2">
      <c r="F1066" s="84"/>
    </row>
    <row r="1067" spans="6:6" x14ac:dyDescent="0.2">
      <c r="F1067" s="84"/>
    </row>
    <row r="1068" spans="6:6" x14ac:dyDescent="0.2">
      <c r="F1068" s="84"/>
    </row>
    <row r="1069" spans="6:6" x14ac:dyDescent="0.2">
      <c r="F1069" s="84"/>
    </row>
    <row r="1070" spans="6:6" x14ac:dyDescent="0.2">
      <c r="F1070" s="84"/>
    </row>
    <row r="1071" spans="6:6" x14ac:dyDescent="0.2">
      <c r="F1071" s="84"/>
    </row>
    <row r="1072" spans="6:6" x14ac:dyDescent="0.2">
      <c r="F1072" s="84"/>
    </row>
    <row r="1073" spans="6:6" x14ac:dyDescent="0.2">
      <c r="F1073" s="84"/>
    </row>
    <row r="1074" spans="6:6" x14ac:dyDescent="0.2">
      <c r="F1074" s="84"/>
    </row>
    <row r="1075" spans="6:6" x14ac:dyDescent="0.2">
      <c r="F1075" s="84"/>
    </row>
    <row r="1076" spans="6:6" x14ac:dyDescent="0.2">
      <c r="F1076" s="84"/>
    </row>
    <row r="1077" spans="6:6" x14ac:dyDescent="0.2">
      <c r="F1077" s="84"/>
    </row>
    <row r="1078" spans="6:6" x14ac:dyDescent="0.2">
      <c r="F1078" s="84"/>
    </row>
    <row r="1079" spans="6:6" x14ac:dyDescent="0.2">
      <c r="F1079" s="84"/>
    </row>
    <row r="1080" spans="6:6" x14ac:dyDescent="0.2">
      <c r="F1080" s="84"/>
    </row>
    <row r="1081" spans="6:6" x14ac:dyDescent="0.2">
      <c r="F1081" s="84"/>
    </row>
    <row r="1082" spans="6:6" x14ac:dyDescent="0.2">
      <c r="F1082" s="84"/>
    </row>
    <row r="1083" spans="6:6" x14ac:dyDescent="0.2">
      <c r="F1083" s="84"/>
    </row>
    <row r="1084" spans="6:6" x14ac:dyDescent="0.2">
      <c r="F1084" s="84"/>
    </row>
    <row r="1085" spans="6:6" x14ac:dyDescent="0.2">
      <c r="F1085" s="84"/>
    </row>
    <row r="1086" spans="6:6" x14ac:dyDescent="0.2">
      <c r="F1086" s="84"/>
    </row>
    <row r="1087" spans="6:6" x14ac:dyDescent="0.2">
      <c r="F1087" s="84"/>
    </row>
    <row r="1088" spans="6:6" x14ac:dyDescent="0.2">
      <c r="F1088" s="84"/>
    </row>
    <row r="1089" spans="6:6" x14ac:dyDescent="0.2">
      <c r="F1089" s="84"/>
    </row>
    <row r="1090" spans="6:6" x14ac:dyDescent="0.2">
      <c r="F1090" s="84"/>
    </row>
    <row r="1091" spans="6:6" x14ac:dyDescent="0.2">
      <c r="F1091" s="84"/>
    </row>
    <row r="1092" spans="6:6" x14ac:dyDescent="0.2">
      <c r="F1092" s="84"/>
    </row>
    <row r="1093" spans="6:6" x14ac:dyDescent="0.2">
      <c r="F1093" s="84"/>
    </row>
    <row r="1094" spans="6:6" x14ac:dyDescent="0.2">
      <c r="F1094" s="84"/>
    </row>
    <row r="1095" spans="6:6" x14ac:dyDescent="0.2">
      <c r="F1095" s="84"/>
    </row>
    <row r="1096" spans="6:6" x14ac:dyDescent="0.2">
      <c r="F1096" s="84"/>
    </row>
    <row r="1097" spans="6:6" x14ac:dyDescent="0.2">
      <c r="F1097" s="84"/>
    </row>
    <row r="1098" spans="6:6" x14ac:dyDescent="0.2">
      <c r="F1098" s="84"/>
    </row>
    <row r="1099" spans="6:6" x14ac:dyDescent="0.2">
      <c r="F1099" s="84"/>
    </row>
    <row r="1100" spans="6:6" x14ac:dyDescent="0.2">
      <c r="F1100" s="84"/>
    </row>
    <row r="1101" spans="6:6" x14ac:dyDescent="0.2">
      <c r="F1101" s="84"/>
    </row>
    <row r="1102" spans="6:6" x14ac:dyDescent="0.2">
      <c r="F1102" s="84"/>
    </row>
    <row r="1103" spans="6:6" x14ac:dyDescent="0.2">
      <c r="F1103" s="84"/>
    </row>
    <row r="1104" spans="6:6" x14ac:dyDescent="0.2">
      <c r="F1104" s="84"/>
    </row>
    <row r="1105" spans="6:6" x14ac:dyDescent="0.2">
      <c r="F1105" s="84"/>
    </row>
    <row r="1106" spans="6:6" x14ac:dyDescent="0.2">
      <c r="F1106" s="84"/>
    </row>
    <row r="1107" spans="6:6" x14ac:dyDescent="0.2">
      <c r="F1107" s="84"/>
    </row>
    <row r="1108" spans="6:6" x14ac:dyDescent="0.2">
      <c r="F1108" s="84"/>
    </row>
    <row r="1109" spans="6:6" x14ac:dyDescent="0.2">
      <c r="F1109" s="84"/>
    </row>
    <row r="1110" spans="6:6" x14ac:dyDescent="0.2">
      <c r="F1110" s="84"/>
    </row>
    <row r="1111" spans="6:6" x14ac:dyDescent="0.2">
      <c r="F1111" s="84"/>
    </row>
    <row r="1112" spans="6:6" x14ac:dyDescent="0.2">
      <c r="F1112" s="84"/>
    </row>
    <row r="1113" spans="6:6" x14ac:dyDescent="0.2">
      <c r="F1113" s="84"/>
    </row>
    <row r="1114" spans="6:6" x14ac:dyDescent="0.2">
      <c r="F1114" s="84"/>
    </row>
    <row r="1115" spans="6:6" x14ac:dyDescent="0.2">
      <c r="F1115" s="84"/>
    </row>
    <row r="1116" spans="6:6" x14ac:dyDescent="0.2">
      <c r="F1116" s="84"/>
    </row>
    <row r="1117" spans="6:6" x14ac:dyDescent="0.2">
      <c r="F1117" s="84"/>
    </row>
    <row r="1118" spans="6:6" x14ac:dyDescent="0.2">
      <c r="F1118" s="84"/>
    </row>
    <row r="1119" spans="6:6" x14ac:dyDescent="0.2">
      <c r="F1119" s="84"/>
    </row>
    <row r="1120" spans="6:6" x14ac:dyDescent="0.2">
      <c r="F1120" s="84"/>
    </row>
    <row r="1121" spans="6:6" x14ac:dyDescent="0.2">
      <c r="F1121" s="84"/>
    </row>
    <row r="1122" spans="6:6" x14ac:dyDescent="0.2">
      <c r="F1122" s="84"/>
    </row>
    <row r="1123" spans="6:6" x14ac:dyDescent="0.2">
      <c r="F1123" s="84"/>
    </row>
    <row r="1124" spans="6:6" x14ac:dyDescent="0.2">
      <c r="F1124" s="84"/>
    </row>
    <row r="1125" spans="6:6" x14ac:dyDescent="0.2">
      <c r="F1125" s="84"/>
    </row>
    <row r="1126" spans="6:6" x14ac:dyDescent="0.2">
      <c r="F1126" s="84"/>
    </row>
    <row r="1127" spans="6:6" x14ac:dyDescent="0.2">
      <c r="F1127" s="84"/>
    </row>
    <row r="1128" spans="6:6" x14ac:dyDescent="0.2">
      <c r="F1128" s="84"/>
    </row>
    <row r="1129" spans="6:6" x14ac:dyDescent="0.2">
      <c r="F1129" s="84"/>
    </row>
    <row r="1130" spans="6:6" x14ac:dyDescent="0.2">
      <c r="F1130" s="84"/>
    </row>
    <row r="1131" spans="6:6" x14ac:dyDescent="0.2">
      <c r="F1131" s="84"/>
    </row>
    <row r="1132" spans="6:6" x14ac:dyDescent="0.2">
      <c r="F1132" s="84"/>
    </row>
    <row r="1133" spans="6:6" x14ac:dyDescent="0.2">
      <c r="F1133" s="84"/>
    </row>
    <row r="1134" spans="6:6" x14ac:dyDescent="0.2">
      <c r="F1134" s="84"/>
    </row>
    <row r="1135" spans="6:6" x14ac:dyDescent="0.2">
      <c r="F1135" s="84"/>
    </row>
    <row r="1136" spans="6:6" x14ac:dyDescent="0.2">
      <c r="F1136" s="84"/>
    </row>
    <row r="1137" spans="6:6" x14ac:dyDescent="0.2">
      <c r="F1137" s="84"/>
    </row>
    <row r="1138" spans="6:6" x14ac:dyDescent="0.2">
      <c r="F1138" s="84"/>
    </row>
    <row r="1139" spans="6:6" x14ac:dyDescent="0.2">
      <c r="F1139" s="84"/>
    </row>
    <row r="1140" spans="6:6" x14ac:dyDescent="0.2">
      <c r="F1140" s="84"/>
    </row>
    <row r="1141" spans="6:6" x14ac:dyDescent="0.2">
      <c r="F1141" s="84"/>
    </row>
    <row r="1142" spans="6:6" x14ac:dyDescent="0.2">
      <c r="F1142" s="84"/>
    </row>
    <row r="1143" spans="6:6" x14ac:dyDescent="0.2">
      <c r="F1143" s="84"/>
    </row>
    <row r="1144" spans="6:6" x14ac:dyDescent="0.2">
      <c r="F1144" s="84"/>
    </row>
    <row r="1145" spans="6:6" x14ac:dyDescent="0.2">
      <c r="F1145" s="84"/>
    </row>
    <row r="1146" spans="6:6" x14ac:dyDescent="0.2">
      <c r="F1146" s="84"/>
    </row>
    <row r="1147" spans="6:6" x14ac:dyDescent="0.2">
      <c r="F1147" s="84"/>
    </row>
    <row r="1148" spans="6:6" x14ac:dyDescent="0.2">
      <c r="F1148" s="84"/>
    </row>
    <row r="1149" spans="6:6" x14ac:dyDescent="0.2">
      <c r="F1149" s="84"/>
    </row>
    <row r="1150" spans="6:6" x14ac:dyDescent="0.2">
      <c r="F1150" s="84"/>
    </row>
    <row r="1151" spans="6:6" x14ac:dyDescent="0.2">
      <c r="F1151" s="84"/>
    </row>
    <row r="1152" spans="6:6" x14ac:dyDescent="0.2">
      <c r="F1152" s="84"/>
    </row>
    <row r="1153" spans="6:6" x14ac:dyDescent="0.2">
      <c r="F1153" s="84"/>
    </row>
    <row r="1154" spans="6:6" x14ac:dyDescent="0.2">
      <c r="F1154" s="84"/>
    </row>
    <row r="1155" spans="6:6" x14ac:dyDescent="0.2">
      <c r="F1155" s="84"/>
    </row>
    <row r="1156" spans="6:6" x14ac:dyDescent="0.2">
      <c r="F1156" s="84"/>
    </row>
    <row r="1157" spans="6:6" x14ac:dyDescent="0.2">
      <c r="F1157" s="84"/>
    </row>
    <row r="1158" spans="6:6" x14ac:dyDescent="0.2">
      <c r="F1158" s="84"/>
    </row>
    <row r="1159" spans="6:6" x14ac:dyDescent="0.2">
      <c r="F1159" s="84"/>
    </row>
    <row r="1160" spans="6:6" x14ac:dyDescent="0.2">
      <c r="F1160" s="84"/>
    </row>
    <row r="1161" spans="6:6" x14ac:dyDescent="0.2">
      <c r="F1161" s="84"/>
    </row>
    <row r="1162" spans="6:6" x14ac:dyDescent="0.2">
      <c r="F1162" s="84"/>
    </row>
    <row r="1163" spans="6:6" x14ac:dyDescent="0.2">
      <c r="F1163" s="84"/>
    </row>
    <row r="1164" spans="6:6" x14ac:dyDescent="0.2">
      <c r="F1164" s="84"/>
    </row>
    <row r="1165" spans="6:6" x14ac:dyDescent="0.2">
      <c r="F1165" s="84"/>
    </row>
    <row r="1166" spans="6:6" x14ac:dyDescent="0.2">
      <c r="F1166" s="84"/>
    </row>
    <row r="1167" spans="6:6" x14ac:dyDescent="0.2">
      <c r="F1167" s="84"/>
    </row>
    <row r="1168" spans="6:6" x14ac:dyDescent="0.2">
      <c r="F1168" s="84"/>
    </row>
    <row r="1169" spans="6:6" x14ac:dyDescent="0.2">
      <c r="F1169" s="84"/>
    </row>
    <row r="1170" spans="6:6" x14ac:dyDescent="0.2">
      <c r="F1170" s="84"/>
    </row>
    <row r="1171" spans="6:6" x14ac:dyDescent="0.2">
      <c r="F1171" s="84"/>
    </row>
    <row r="1172" spans="6:6" x14ac:dyDescent="0.2">
      <c r="F1172" s="84"/>
    </row>
    <row r="1173" spans="6:6" x14ac:dyDescent="0.2">
      <c r="F1173" s="84"/>
    </row>
    <row r="1174" spans="6:6" x14ac:dyDescent="0.2">
      <c r="F1174" s="84"/>
    </row>
    <row r="1175" spans="6:6" x14ac:dyDescent="0.2">
      <c r="F1175" s="84"/>
    </row>
    <row r="1176" spans="6:6" x14ac:dyDescent="0.2">
      <c r="F1176" s="84"/>
    </row>
    <row r="1177" spans="6:6" x14ac:dyDescent="0.2">
      <c r="F1177" s="84"/>
    </row>
    <row r="1178" spans="6:6" x14ac:dyDescent="0.2">
      <c r="F1178" s="84"/>
    </row>
    <row r="1179" spans="6:6" x14ac:dyDescent="0.2">
      <c r="F1179" s="84"/>
    </row>
    <row r="1180" spans="6:6" x14ac:dyDescent="0.2">
      <c r="F1180" s="84"/>
    </row>
    <row r="1181" spans="6:6" x14ac:dyDescent="0.2">
      <c r="F1181" s="84"/>
    </row>
    <row r="1182" spans="6:6" x14ac:dyDescent="0.2">
      <c r="F1182" s="84"/>
    </row>
    <row r="1183" spans="6:6" x14ac:dyDescent="0.2">
      <c r="F1183" s="84"/>
    </row>
    <row r="1184" spans="6:6" x14ac:dyDescent="0.2">
      <c r="F1184" s="84"/>
    </row>
    <row r="1185" spans="6:6" x14ac:dyDescent="0.2">
      <c r="F1185" s="84"/>
    </row>
    <row r="1186" spans="6:6" x14ac:dyDescent="0.2">
      <c r="F1186" s="84"/>
    </row>
    <row r="1187" spans="6:6" x14ac:dyDescent="0.2">
      <c r="F1187" s="84"/>
    </row>
    <row r="1188" spans="6:6" x14ac:dyDescent="0.2">
      <c r="F1188" s="84"/>
    </row>
    <row r="1189" spans="6:6" x14ac:dyDescent="0.2">
      <c r="F1189" s="84"/>
    </row>
    <row r="1190" spans="6:6" x14ac:dyDescent="0.2">
      <c r="F1190" s="84"/>
    </row>
    <row r="1191" spans="6:6" x14ac:dyDescent="0.2">
      <c r="F1191" s="84"/>
    </row>
    <row r="1192" spans="6:6" x14ac:dyDescent="0.2">
      <c r="F1192" s="84"/>
    </row>
    <row r="1193" spans="6:6" x14ac:dyDescent="0.2">
      <c r="F1193" s="84"/>
    </row>
    <row r="1194" spans="6:6" x14ac:dyDescent="0.2">
      <c r="F1194" s="84"/>
    </row>
    <row r="1195" spans="6:6" x14ac:dyDescent="0.2">
      <c r="F1195" s="84"/>
    </row>
    <row r="1196" spans="6:6" x14ac:dyDescent="0.2">
      <c r="F1196" s="84"/>
    </row>
    <row r="1197" spans="6:6" x14ac:dyDescent="0.2">
      <c r="F1197" s="84"/>
    </row>
    <row r="1198" spans="6:6" x14ac:dyDescent="0.2">
      <c r="F1198" s="84"/>
    </row>
    <row r="1199" spans="6:6" x14ac:dyDescent="0.2">
      <c r="F1199" s="84"/>
    </row>
    <row r="1200" spans="6:6" x14ac:dyDescent="0.2">
      <c r="F1200" s="84"/>
    </row>
    <row r="1201" spans="6:6" x14ac:dyDescent="0.2">
      <c r="F1201" s="84"/>
    </row>
    <row r="1202" spans="6:6" x14ac:dyDescent="0.2">
      <c r="F1202" s="84"/>
    </row>
    <row r="1203" spans="6:6" x14ac:dyDescent="0.2">
      <c r="F1203" s="84"/>
    </row>
    <row r="1204" spans="6:6" x14ac:dyDescent="0.2">
      <c r="F1204" s="84"/>
    </row>
    <row r="1205" spans="6:6" x14ac:dyDescent="0.2">
      <c r="F1205" s="84"/>
    </row>
    <row r="1206" spans="6:6" x14ac:dyDescent="0.2">
      <c r="F1206" s="84"/>
    </row>
    <row r="1207" spans="6:6" x14ac:dyDescent="0.2">
      <c r="F1207" s="84"/>
    </row>
    <row r="1208" spans="6:6" x14ac:dyDescent="0.2">
      <c r="F1208" s="84"/>
    </row>
    <row r="1209" spans="6:6" x14ac:dyDescent="0.2">
      <c r="F1209" s="84"/>
    </row>
    <row r="1210" spans="6:6" x14ac:dyDescent="0.2">
      <c r="F1210" s="84"/>
    </row>
    <row r="1211" spans="6:6" x14ac:dyDescent="0.2">
      <c r="F1211" s="84"/>
    </row>
    <row r="1212" spans="6:6" x14ac:dyDescent="0.2">
      <c r="F1212" s="84"/>
    </row>
    <row r="1213" spans="6:6" x14ac:dyDescent="0.2">
      <c r="F1213" s="84"/>
    </row>
    <row r="1214" spans="6:6" x14ac:dyDescent="0.2">
      <c r="F1214" s="84"/>
    </row>
    <row r="1215" spans="6:6" x14ac:dyDescent="0.2">
      <c r="F1215" s="84"/>
    </row>
    <row r="1216" spans="6:6" x14ac:dyDescent="0.2">
      <c r="F1216" s="84"/>
    </row>
    <row r="1217" spans="6:6" x14ac:dyDescent="0.2">
      <c r="F1217" s="84"/>
    </row>
    <row r="1218" spans="6:6" x14ac:dyDescent="0.2">
      <c r="F1218" s="84"/>
    </row>
    <row r="1219" spans="6:6" x14ac:dyDescent="0.2">
      <c r="F1219" s="84"/>
    </row>
    <row r="1220" spans="6:6" x14ac:dyDescent="0.2">
      <c r="F1220" s="84"/>
    </row>
    <row r="1221" spans="6:6" x14ac:dyDescent="0.2">
      <c r="F1221" s="84"/>
    </row>
    <row r="1222" spans="6:6" x14ac:dyDescent="0.2">
      <c r="F1222" s="84"/>
    </row>
    <row r="1223" spans="6:6" x14ac:dyDescent="0.2">
      <c r="F1223" s="84"/>
    </row>
    <row r="1224" spans="6:6" x14ac:dyDescent="0.2">
      <c r="F1224" s="84"/>
    </row>
    <row r="1225" spans="6:6" x14ac:dyDescent="0.2">
      <c r="F1225" s="84"/>
    </row>
    <row r="1226" spans="6:6" x14ac:dyDescent="0.2">
      <c r="F1226" s="84"/>
    </row>
    <row r="1227" spans="6:6" x14ac:dyDescent="0.2">
      <c r="F1227" s="84"/>
    </row>
    <row r="1228" spans="6:6" x14ac:dyDescent="0.2">
      <c r="F1228" s="84"/>
    </row>
    <row r="1229" spans="6:6" x14ac:dyDescent="0.2">
      <c r="F1229" s="84"/>
    </row>
    <row r="1230" spans="6:6" x14ac:dyDescent="0.2">
      <c r="F1230" s="84"/>
    </row>
    <row r="1231" spans="6:6" x14ac:dyDescent="0.2">
      <c r="F1231" s="84"/>
    </row>
    <row r="1232" spans="6:6" x14ac:dyDescent="0.2">
      <c r="F1232" s="84"/>
    </row>
    <row r="1233" spans="6:6" x14ac:dyDescent="0.2">
      <c r="F1233" s="84"/>
    </row>
    <row r="1234" spans="6:6" x14ac:dyDescent="0.2">
      <c r="F1234" s="84"/>
    </row>
    <row r="1235" spans="6:6" x14ac:dyDescent="0.2">
      <c r="F1235" s="84"/>
    </row>
    <row r="1236" spans="6:6" x14ac:dyDescent="0.2">
      <c r="F1236" s="84"/>
    </row>
    <row r="1237" spans="6:6" x14ac:dyDescent="0.2">
      <c r="F1237" s="84"/>
    </row>
    <row r="1238" spans="6:6" x14ac:dyDescent="0.2">
      <c r="F1238" s="84"/>
    </row>
    <row r="1239" spans="6:6" x14ac:dyDescent="0.2">
      <c r="F1239" s="84"/>
    </row>
    <row r="1240" spans="6:6" x14ac:dyDescent="0.2">
      <c r="F1240" s="84"/>
    </row>
    <row r="1241" spans="6:6" x14ac:dyDescent="0.2">
      <c r="F1241" s="84"/>
    </row>
    <row r="1242" spans="6:6" x14ac:dyDescent="0.2">
      <c r="F1242" s="84"/>
    </row>
    <row r="1243" spans="6:6" x14ac:dyDescent="0.2">
      <c r="F1243" s="84"/>
    </row>
    <row r="1244" spans="6:6" x14ac:dyDescent="0.2">
      <c r="F1244" s="84"/>
    </row>
    <row r="1245" spans="6:6" x14ac:dyDescent="0.2">
      <c r="F1245" s="84"/>
    </row>
    <row r="1246" spans="6:6" x14ac:dyDescent="0.2">
      <c r="F1246" s="84"/>
    </row>
    <row r="1247" spans="6:6" x14ac:dyDescent="0.2">
      <c r="F1247" s="84"/>
    </row>
    <row r="1248" spans="6:6" x14ac:dyDescent="0.2">
      <c r="F1248" s="84"/>
    </row>
    <row r="1249" spans="6:6" x14ac:dyDescent="0.2">
      <c r="F1249" s="84"/>
    </row>
    <row r="1250" spans="6:6" x14ac:dyDescent="0.2">
      <c r="F1250" s="84"/>
    </row>
    <row r="1251" spans="6:6" x14ac:dyDescent="0.2">
      <c r="F1251" s="84"/>
    </row>
    <row r="1252" spans="6:6" x14ac:dyDescent="0.2">
      <c r="F1252" s="84"/>
    </row>
    <row r="1253" spans="6:6" x14ac:dyDescent="0.2">
      <c r="F1253" s="84"/>
    </row>
    <row r="1254" spans="6:6" x14ac:dyDescent="0.2">
      <c r="F1254" s="84"/>
    </row>
    <row r="1255" spans="6:6" x14ac:dyDescent="0.2">
      <c r="F1255" s="84"/>
    </row>
    <row r="1256" spans="6:6" x14ac:dyDescent="0.2">
      <c r="F1256" s="84"/>
    </row>
    <row r="1257" spans="6:6" x14ac:dyDescent="0.2">
      <c r="F1257" s="84"/>
    </row>
    <row r="1258" spans="6:6" x14ac:dyDescent="0.2">
      <c r="F1258" s="84"/>
    </row>
    <row r="1259" spans="6:6" x14ac:dyDescent="0.2">
      <c r="F1259" s="84"/>
    </row>
    <row r="1260" spans="6:6" x14ac:dyDescent="0.2">
      <c r="F1260" s="84"/>
    </row>
    <row r="1261" spans="6:6" x14ac:dyDescent="0.2">
      <c r="F1261" s="84"/>
    </row>
    <row r="1262" spans="6:6" x14ac:dyDescent="0.2">
      <c r="F1262" s="84"/>
    </row>
    <row r="1263" spans="6:6" x14ac:dyDescent="0.2">
      <c r="F1263" s="84"/>
    </row>
    <row r="1264" spans="6:6" x14ac:dyDescent="0.2">
      <c r="F1264" s="84"/>
    </row>
    <row r="1265" spans="6:6" x14ac:dyDescent="0.2">
      <c r="F1265" s="84"/>
    </row>
    <row r="1266" spans="6:6" x14ac:dyDescent="0.2">
      <c r="F1266" s="84"/>
    </row>
    <row r="1267" spans="6:6" x14ac:dyDescent="0.2">
      <c r="F1267" s="84"/>
    </row>
    <row r="1268" spans="6:6" x14ac:dyDescent="0.2">
      <c r="F1268" s="84"/>
    </row>
    <row r="1269" spans="6:6" x14ac:dyDescent="0.2">
      <c r="F1269" s="84"/>
    </row>
    <row r="1270" spans="6:6" x14ac:dyDescent="0.2">
      <c r="F1270" s="84"/>
    </row>
    <row r="1271" spans="6:6" x14ac:dyDescent="0.2">
      <c r="F1271" s="84"/>
    </row>
    <row r="1272" spans="6:6" x14ac:dyDescent="0.2">
      <c r="F1272" s="84"/>
    </row>
    <row r="1273" spans="6:6" x14ac:dyDescent="0.2">
      <c r="F1273" s="84"/>
    </row>
    <row r="1274" spans="6:6" x14ac:dyDescent="0.2">
      <c r="F1274" s="84"/>
    </row>
    <row r="1275" spans="6:6" x14ac:dyDescent="0.2">
      <c r="F1275" s="84"/>
    </row>
    <row r="1276" spans="6:6" x14ac:dyDescent="0.2">
      <c r="F1276" s="84"/>
    </row>
    <row r="1277" spans="6:6" x14ac:dyDescent="0.2">
      <c r="F1277" s="84"/>
    </row>
    <row r="1278" spans="6:6" x14ac:dyDescent="0.2">
      <c r="F1278" s="84"/>
    </row>
    <row r="1279" spans="6:6" x14ac:dyDescent="0.2">
      <c r="F1279" s="84"/>
    </row>
    <row r="1280" spans="6:6" x14ac:dyDescent="0.2">
      <c r="F1280" s="84"/>
    </row>
    <row r="1281" spans="6:6" x14ac:dyDescent="0.2">
      <c r="F1281" s="84"/>
    </row>
    <row r="1282" spans="6:6" x14ac:dyDescent="0.2">
      <c r="F1282" s="84"/>
    </row>
    <row r="1283" spans="6:6" x14ac:dyDescent="0.2">
      <c r="F1283" s="84"/>
    </row>
    <row r="1284" spans="6:6" x14ac:dyDescent="0.2">
      <c r="F1284" s="84"/>
    </row>
    <row r="1285" spans="6:6" x14ac:dyDescent="0.2">
      <c r="F1285" s="84"/>
    </row>
    <row r="1286" spans="6:6" x14ac:dyDescent="0.2">
      <c r="F1286" s="84"/>
    </row>
    <row r="1287" spans="6:6" x14ac:dyDescent="0.2">
      <c r="F1287" s="84"/>
    </row>
    <row r="1288" spans="6:6" x14ac:dyDescent="0.2">
      <c r="F1288" s="84"/>
    </row>
    <row r="1289" spans="6:6" x14ac:dyDescent="0.2">
      <c r="F1289" s="84"/>
    </row>
    <row r="1290" spans="6:6" x14ac:dyDescent="0.2">
      <c r="F1290" s="84"/>
    </row>
    <row r="1291" spans="6:6" x14ac:dyDescent="0.2">
      <c r="F1291" s="84"/>
    </row>
    <row r="1292" spans="6:6" x14ac:dyDescent="0.2">
      <c r="F1292" s="84"/>
    </row>
    <row r="1293" spans="6:6" x14ac:dyDescent="0.2">
      <c r="F1293" s="84"/>
    </row>
    <row r="1294" spans="6:6" x14ac:dyDescent="0.2">
      <c r="F1294" s="84"/>
    </row>
    <row r="1295" spans="6:6" x14ac:dyDescent="0.2">
      <c r="F1295" s="84"/>
    </row>
    <row r="1296" spans="6:6" x14ac:dyDescent="0.2">
      <c r="F1296" s="84"/>
    </row>
    <row r="1297" spans="6:6" x14ac:dyDescent="0.2">
      <c r="F1297" s="84"/>
    </row>
    <row r="1298" spans="6:6" x14ac:dyDescent="0.2">
      <c r="F1298" s="84"/>
    </row>
    <row r="1299" spans="6:6" x14ac:dyDescent="0.2">
      <c r="F1299" s="84"/>
    </row>
    <row r="1300" spans="6:6" x14ac:dyDescent="0.2">
      <c r="F1300" s="84"/>
    </row>
    <row r="1301" spans="6:6" x14ac:dyDescent="0.2">
      <c r="F1301" s="84"/>
    </row>
    <row r="1302" spans="6:6" x14ac:dyDescent="0.2">
      <c r="F1302" s="84"/>
    </row>
    <row r="1303" spans="6:6" x14ac:dyDescent="0.2">
      <c r="F1303" s="84"/>
    </row>
    <row r="1304" spans="6:6" x14ac:dyDescent="0.2">
      <c r="F1304" s="84"/>
    </row>
    <row r="1305" spans="6:6" x14ac:dyDescent="0.2">
      <c r="F1305" s="84"/>
    </row>
    <row r="1306" spans="6:6" x14ac:dyDescent="0.2">
      <c r="F1306" s="84"/>
    </row>
    <row r="1307" spans="6:6" x14ac:dyDescent="0.2">
      <c r="F1307" s="84"/>
    </row>
    <row r="1308" spans="6:6" x14ac:dyDescent="0.2">
      <c r="F1308" s="84"/>
    </row>
    <row r="1309" spans="6:6" x14ac:dyDescent="0.2">
      <c r="F1309" s="84"/>
    </row>
    <row r="1310" spans="6:6" x14ac:dyDescent="0.2">
      <c r="F1310" s="84"/>
    </row>
    <row r="1311" spans="6:6" x14ac:dyDescent="0.2">
      <c r="F1311" s="84"/>
    </row>
    <row r="1312" spans="6:6" x14ac:dyDescent="0.2">
      <c r="F1312" s="84"/>
    </row>
    <row r="1313" spans="6:6" x14ac:dyDescent="0.2">
      <c r="F1313" s="84"/>
    </row>
    <row r="1314" spans="6:6" x14ac:dyDescent="0.2">
      <c r="F1314" s="84"/>
    </row>
    <row r="1315" spans="6:6" x14ac:dyDescent="0.2">
      <c r="F1315" s="84"/>
    </row>
    <row r="1316" spans="6:6" x14ac:dyDescent="0.2">
      <c r="F1316" s="84"/>
    </row>
    <row r="1317" spans="6:6" x14ac:dyDescent="0.2">
      <c r="F1317" s="84"/>
    </row>
    <row r="1318" spans="6:6" x14ac:dyDescent="0.2">
      <c r="F1318" s="84"/>
    </row>
    <row r="1319" spans="6:6" x14ac:dyDescent="0.2">
      <c r="F1319" s="84"/>
    </row>
    <row r="1320" spans="6:6" x14ac:dyDescent="0.2">
      <c r="F1320" s="84"/>
    </row>
    <row r="1321" spans="6:6" x14ac:dyDescent="0.2">
      <c r="F1321" s="84"/>
    </row>
    <row r="1322" spans="6:6" x14ac:dyDescent="0.2">
      <c r="F1322" s="84"/>
    </row>
    <row r="1323" spans="6:6" x14ac:dyDescent="0.2">
      <c r="F1323" s="84"/>
    </row>
    <row r="1324" spans="6:6" x14ac:dyDescent="0.2">
      <c r="F1324" s="84"/>
    </row>
    <row r="1325" spans="6:6" x14ac:dyDescent="0.2">
      <c r="F1325" s="84"/>
    </row>
    <row r="1326" spans="6:6" x14ac:dyDescent="0.2">
      <c r="F1326" s="84"/>
    </row>
    <row r="1327" spans="6:6" x14ac:dyDescent="0.2">
      <c r="F1327" s="84"/>
    </row>
    <row r="1328" spans="6:6" x14ac:dyDescent="0.2">
      <c r="F1328" s="84"/>
    </row>
    <row r="1329" spans="6:6" x14ac:dyDescent="0.2">
      <c r="F1329" s="84"/>
    </row>
    <row r="1330" spans="6:6" x14ac:dyDescent="0.2">
      <c r="F1330" s="84"/>
    </row>
    <row r="1331" spans="6:6" x14ac:dyDescent="0.2">
      <c r="F1331" s="84"/>
    </row>
    <row r="1332" spans="6:6" x14ac:dyDescent="0.2">
      <c r="F1332" s="84"/>
    </row>
    <row r="1333" spans="6:6" x14ac:dyDescent="0.2">
      <c r="F1333" s="84"/>
    </row>
    <row r="1334" spans="6:6" x14ac:dyDescent="0.2">
      <c r="F1334" s="84"/>
    </row>
    <row r="1335" spans="6:6" x14ac:dyDescent="0.2">
      <c r="F1335" s="84"/>
    </row>
    <row r="1336" spans="6:6" x14ac:dyDescent="0.2">
      <c r="F1336" s="84"/>
    </row>
    <row r="1337" spans="6:6" x14ac:dyDescent="0.2">
      <c r="F1337" s="84"/>
    </row>
    <row r="1338" spans="6:6" x14ac:dyDescent="0.2">
      <c r="F1338" s="84"/>
    </row>
    <row r="1339" spans="6:6" x14ac:dyDescent="0.2">
      <c r="F1339" s="84"/>
    </row>
    <row r="1340" spans="6:6" x14ac:dyDescent="0.2">
      <c r="F1340" s="84"/>
    </row>
    <row r="1341" spans="6:6" x14ac:dyDescent="0.2">
      <c r="F1341" s="84"/>
    </row>
    <row r="1342" spans="6:6" x14ac:dyDescent="0.2">
      <c r="F1342" s="84"/>
    </row>
    <row r="1343" spans="6:6" x14ac:dyDescent="0.2">
      <c r="F1343" s="84"/>
    </row>
    <row r="1344" spans="6:6" x14ac:dyDescent="0.2">
      <c r="F1344" s="84"/>
    </row>
    <row r="1345" spans="6:6" x14ac:dyDescent="0.2">
      <c r="F1345" s="84"/>
    </row>
    <row r="1346" spans="6:6" x14ac:dyDescent="0.2">
      <c r="F1346" s="84"/>
    </row>
    <row r="1347" spans="6:6" x14ac:dyDescent="0.2">
      <c r="F1347" s="84"/>
    </row>
    <row r="1348" spans="6:6" x14ac:dyDescent="0.2">
      <c r="F1348" s="84"/>
    </row>
    <row r="1349" spans="6:6" x14ac:dyDescent="0.2">
      <c r="F1349" s="84"/>
    </row>
    <row r="1350" spans="6:6" x14ac:dyDescent="0.2">
      <c r="F1350" s="84"/>
    </row>
    <row r="1351" spans="6:6" x14ac:dyDescent="0.2">
      <c r="F1351" s="84"/>
    </row>
    <row r="1352" spans="6:6" x14ac:dyDescent="0.2">
      <c r="F1352" s="84"/>
    </row>
    <row r="1353" spans="6:6" x14ac:dyDescent="0.2">
      <c r="F1353" s="84"/>
    </row>
    <row r="1354" spans="6:6" x14ac:dyDescent="0.2">
      <c r="F1354" s="84"/>
    </row>
    <row r="1355" spans="6:6" x14ac:dyDescent="0.2">
      <c r="F1355" s="84"/>
    </row>
    <row r="1356" spans="6:6" x14ac:dyDescent="0.2">
      <c r="F1356" s="84"/>
    </row>
    <row r="1357" spans="6:6" x14ac:dyDescent="0.2">
      <c r="F1357" s="84"/>
    </row>
    <row r="1358" spans="6:6" x14ac:dyDescent="0.2">
      <c r="F1358" s="84"/>
    </row>
    <row r="1359" spans="6:6" x14ac:dyDescent="0.2">
      <c r="F1359" s="84"/>
    </row>
    <row r="1360" spans="6:6" x14ac:dyDescent="0.2">
      <c r="F1360" s="84"/>
    </row>
    <row r="1361" spans="6:6" x14ac:dyDescent="0.2">
      <c r="F1361" s="84"/>
    </row>
    <row r="1362" spans="6:6" x14ac:dyDescent="0.2">
      <c r="F1362" s="84"/>
    </row>
    <row r="1363" spans="6:6" x14ac:dyDescent="0.2">
      <c r="F1363" s="84"/>
    </row>
    <row r="1364" spans="6:6" x14ac:dyDescent="0.2">
      <c r="F1364" s="84"/>
    </row>
    <row r="1365" spans="6:6" x14ac:dyDescent="0.2">
      <c r="F1365" s="84"/>
    </row>
    <row r="1366" spans="6:6" x14ac:dyDescent="0.2">
      <c r="F1366" s="84"/>
    </row>
    <row r="1367" spans="6:6" x14ac:dyDescent="0.2">
      <c r="F1367" s="84"/>
    </row>
    <row r="1368" spans="6:6" x14ac:dyDescent="0.2">
      <c r="F1368" s="84"/>
    </row>
    <row r="1369" spans="6:6" x14ac:dyDescent="0.2">
      <c r="F1369" s="84"/>
    </row>
    <row r="1370" spans="6:6" x14ac:dyDescent="0.2">
      <c r="F1370" s="84"/>
    </row>
    <row r="1371" spans="6:6" x14ac:dyDescent="0.2">
      <c r="F1371" s="84"/>
    </row>
    <row r="1372" spans="6:6" x14ac:dyDescent="0.2">
      <c r="F1372" s="84"/>
    </row>
    <row r="1373" spans="6:6" x14ac:dyDescent="0.2">
      <c r="F1373" s="84"/>
    </row>
    <row r="1374" spans="6:6" x14ac:dyDescent="0.2">
      <c r="F1374" s="84"/>
    </row>
    <row r="1375" spans="6:6" x14ac:dyDescent="0.2">
      <c r="F1375" s="84"/>
    </row>
    <row r="1376" spans="6:6" x14ac:dyDescent="0.2">
      <c r="F1376" s="84"/>
    </row>
    <row r="1377" spans="6:6" x14ac:dyDescent="0.2">
      <c r="F1377" s="84"/>
    </row>
    <row r="1378" spans="6:6" x14ac:dyDescent="0.2">
      <c r="F1378" s="84"/>
    </row>
    <row r="1379" spans="6:6" x14ac:dyDescent="0.2">
      <c r="F1379" s="84"/>
    </row>
    <row r="1380" spans="6:6" x14ac:dyDescent="0.2">
      <c r="F1380" s="84"/>
    </row>
    <row r="1381" spans="6:6" x14ac:dyDescent="0.2">
      <c r="F1381" s="84"/>
    </row>
    <row r="1382" spans="6:6" x14ac:dyDescent="0.2">
      <c r="F1382" s="84"/>
    </row>
    <row r="1383" spans="6:6" x14ac:dyDescent="0.2">
      <c r="F1383" s="84"/>
    </row>
    <row r="1384" spans="6:6" x14ac:dyDescent="0.2">
      <c r="F1384" s="84"/>
    </row>
    <row r="1385" spans="6:6" x14ac:dyDescent="0.2">
      <c r="F1385" s="84"/>
    </row>
    <row r="1386" spans="6:6" x14ac:dyDescent="0.2">
      <c r="F1386" s="84"/>
    </row>
    <row r="1387" spans="6:6" x14ac:dyDescent="0.2">
      <c r="F1387" s="84"/>
    </row>
    <row r="1388" spans="6:6" x14ac:dyDescent="0.2">
      <c r="F1388" s="84"/>
    </row>
    <row r="1389" spans="6:6" x14ac:dyDescent="0.2">
      <c r="F1389" s="84"/>
    </row>
    <row r="1390" spans="6:6" x14ac:dyDescent="0.2">
      <c r="F1390" s="84"/>
    </row>
    <row r="1391" spans="6:6" x14ac:dyDescent="0.2">
      <c r="F1391" s="84"/>
    </row>
    <row r="1392" spans="6:6" x14ac:dyDescent="0.2">
      <c r="F1392" s="84"/>
    </row>
    <row r="1393" spans="6:6" x14ac:dyDescent="0.2">
      <c r="F1393" s="84"/>
    </row>
    <row r="1394" spans="6:6" x14ac:dyDescent="0.2">
      <c r="F1394" s="84"/>
    </row>
    <row r="1395" spans="6:6" x14ac:dyDescent="0.2">
      <c r="F1395" s="84"/>
    </row>
    <row r="1396" spans="6:6" x14ac:dyDescent="0.2">
      <c r="F1396" s="84"/>
    </row>
    <row r="1397" spans="6:6" x14ac:dyDescent="0.2">
      <c r="F1397" s="84"/>
    </row>
    <row r="1398" spans="6:6" x14ac:dyDescent="0.2">
      <c r="F1398" s="84"/>
    </row>
    <row r="1399" spans="6:6" x14ac:dyDescent="0.2">
      <c r="F1399" s="84"/>
    </row>
    <row r="1400" spans="6:6" x14ac:dyDescent="0.2">
      <c r="F1400" s="84"/>
    </row>
    <row r="1401" spans="6:6" x14ac:dyDescent="0.2">
      <c r="F1401" s="84"/>
    </row>
    <row r="1402" spans="6:6" x14ac:dyDescent="0.2">
      <c r="F1402" s="84"/>
    </row>
    <row r="1403" spans="6:6" x14ac:dyDescent="0.2">
      <c r="F1403" s="84"/>
    </row>
    <row r="1404" spans="6:6" x14ac:dyDescent="0.2">
      <c r="F1404" s="84"/>
    </row>
    <row r="1405" spans="6:6" x14ac:dyDescent="0.2">
      <c r="F1405" s="84"/>
    </row>
    <row r="1406" spans="6:6" x14ac:dyDescent="0.2">
      <c r="F1406" s="84"/>
    </row>
    <row r="1407" spans="6:6" x14ac:dyDescent="0.2">
      <c r="F1407" s="84"/>
    </row>
    <row r="1408" spans="6:6" x14ac:dyDescent="0.2">
      <c r="F1408" s="84"/>
    </row>
    <row r="1409" spans="6:6" x14ac:dyDescent="0.2">
      <c r="F1409" s="84"/>
    </row>
    <row r="1410" spans="6:6" x14ac:dyDescent="0.2">
      <c r="F1410" s="84"/>
    </row>
    <row r="1411" spans="6:6" x14ac:dyDescent="0.2">
      <c r="F1411" s="84"/>
    </row>
    <row r="1412" spans="6:6" x14ac:dyDescent="0.2">
      <c r="F1412" s="84"/>
    </row>
    <row r="1413" spans="6:6" x14ac:dyDescent="0.2">
      <c r="F1413" s="84"/>
    </row>
    <row r="1414" spans="6:6" x14ac:dyDescent="0.2">
      <c r="F1414" s="84"/>
    </row>
    <row r="1415" spans="6:6" x14ac:dyDescent="0.2">
      <c r="F1415" s="84"/>
    </row>
    <row r="1416" spans="6:6" x14ac:dyDescent="0.2">
      <c r="F1416" s="84"/>
    </row>
    <row r="1417" spans="6:6" x14ac:dyDescent="0.2">
      <c r="F1417" s="84"/>
    </row>
    <row r="1418" spans="6:6" x14ac:dyDescent="0.2">
      <c r="F1418" s="84"/>
    </row>
    <row r="1419" spans="6:6" x14ac:dyDescent="0.2">
      <c r="F1419" s="84"/>
    </row>
    <row r="1420" spans="6:6" x14ac:dyDescent="0.2">
      <c r="F1420" s="84"/>
    </row>
    <row r="1421" spans="6:6" x14ac:dyDescent="0.2">
      <c r="F1421" s="84"/>
    </row>
    <row r="1422" spans="6:6" x14ac:dyDescent="0.2">
      <c r="F1422" s="84"/>
    </row>
    <row r="1423" spans="6:6" x14ac:dyDescent="0.2">
      <c r="F1423" s="84"/>
    </row>
    <row r="1424" spans="6:6" x14ac:dyDescent="0.2">
      <c r="F1424" s="84"/>
    </row>
    <row r="1425" spans="6:6" x14ac:dyDescent="0.2">
      <c r="F1425" s="84"/>
    </row>
    <row r="1426" spans="6:6" x14ac:dyDescent="0.2">
      <c r="F1426" s="84"/>
    </row>
    <row r="1427" spans="6:6" x14ac:dyDescent="0.2">
      <c r="F1427" s="84"/>
    </row>
    <row r="1428" spans="6:6" x14ac:dyDescent="0.2">
      <c r="F1428" s="84"/>
    </row>
    <row r="1429" spans="6:6" x14ac:dyDescent="0.2">
      <c r="F1429" s="84"/>
    </row>
    <row r="1430" spans="6:6" x14ac:dyDescent="0.2">
      <c r="F1430" s="84"/>
    </row>
    <row r="1431" spans="6:6" x14ac:dyDescent="0.2">
      <c r="F1431" s="84"/>
    </row>
    <row r="1432" spans="6:6" x14ac:dyDescent="0.2">
      <c r="F1432" s="84"/>
    </row>
    <row r="1433" spans="6:6" x14ac:dyDescent="0.2">
      <c r="F1433" s="84"/>
    </row>
    <row r="1434" spans="6:6" x14ac:dyDescent="0.2">
      <c r="F1434" s="84"/>
    </row>
    <row r="1435" spans="6:6" x14ac:dyDescent="0.2">
      <c r="F1435" s="84"/>
    </row>
    <row r="1436" spans="6:6" x14ac:dyDescent="0.2">
      <c r="F1436" s="84"/>
    </row>
    <row r="1437" spans="6:6" x14ac:dyDescent="0.2">
      <c r="F1437" s="84"/>
    </row>
    <row r="1438" spans="6:6" x14ac:dyDescent="0.2">
      <c r="F1438" s="84"/>
    </row>
    <row r="1439" spans="6:6" x14ac:dyDescent="0.2">
      <c r="F1439" s="84"/>
    </row>
    <row r="1440" spans="6:6" x14ac:dyDescent="0.2">
      <c r="F1440" s="84"/>
    </row>
    <row r="1441" spans="6:6" x14ac:dyDescent="0.2">
      <c r="F1441" s="84"/>
    </row>
    <row r="1442" spans="6:6" x14ac:dyDescent="0.2">
      <c r="F1442" s="84"/>
    </row>
    <row r="1443" spans="6:6" x14ac:dyDescent="0.2">
      <c r="F1443" s="84"/>
    </row>
    <row r="1444" spans="6:6" x14ac:dyDescent="0.2">
      <c r="F1444" s="84"/>
    </row>
    <row r="1445" spans="6:6" x14ac:dyDescent="0.2">
      <c r="F1445" s="84"/>
    </row>
    <row r="1446" spans="6:6" x14ac:dyDescent="0.2">
      <c r="F1446" s="84"/>
    </row>
    <row r="1447" spans="6:6" x14ac:dyDescent="0.2">
      <c r="F1447" s="84"/>
    </row>
    <row r="1448" spans="6:6" x14ac:dyDescent="0.2">
      <c r="F1448" s="84"/>
    </row>
    <row r="1449" spans="6:6" x14ac:dyDescent="0.2">
      <c r="F1449" s="84"/>
    </row>
    <row r="1450" spans="6:6" x14ac:dyDescent="0.2">
      <c r="F1450" s="84"/>
    </row>
    <row r="1451" spans="6:6" x14ac:dyDescent="0.2">
      <c r="F1451" s="84"/>
    </row>
    <row r="1452" spans="6:6" x14ac:dyDescent="0.2">
      <c r="F1452" s="84"/>
    </row>
    <row r="1453" spans="6:6" x14ac:dyDescent="0.2">
      <c r="F1453" s="84"/>
    </row>
    <row r="1454" spans="6:6" x14ac:dyDescent="0.2">
      <c r="F1454" s="84"/>
    </row>
    <row r="1455" spans="6:6" x14ac:dyDescent="0.2">
      <c r="F1455" s="84"/>
    </row>
    <row r="1456" spans="6:6" x14ac:dyDescent="0.2">
      <c r="F1456" s="84"/>
    </row>
    <row r="1457" spans="6:6" x14ac:dyDescent="0.2">
      <c r="F1457" s="84"/>
    </row>
    <row r="1458" spans="6:6" x14ac:dyDescent="0.2">
      <c r="F1458" s="84"/>
    </row>
    <row r="1459" spans="6:6" x14ac:dyDescent="0.2">
      <c r="F1459" s="84"/>
    </row>
    <row r="1460" spans="6:6" x14ac:dyDescent="0.2">
      <c r="F1460" s="84"/>
    </row>
    <row r="1461" spans="6:6" x14ac:dyDescent="0.2">
      <c r="F1461" s="84"/>
    </row>
    <row r="1462" spans="6:6" x14ac:dyDescent="0.2">
      <c r="F1462" s="84"/>
    </row>
    <row r="1463" spans="6:6" x14ac:dyDescent="0.2">
      <c r="F1463" s="84"/>
    </row>
    <row r="1464" spans="6:6" x14ac:dyDescent="0.2">
      <c r="F1464" s="84"/>
    </row>
    <row r="1465" spans="6:6" x14ac:dyDescent="0.2">
      <c r="F1465" s="84"/>
    </row>
    <row r="1466" spans="6:6" x14ac:dyDescent="0.2">
      <c r="F1466" s="84"/>
    </row>
    <row r="1467" spans="6:6" x14ac:dyDescent="0.2">
      <c r="F1467" s="84"/>
    </row>
    <row r="1468" spans="6:6" x14ac:dyDescent="0.2">
      <c r="F1468" s="84"/>
    </row>
    <row r="1469" spans="6:6" x14ac:dyDescent="0.2">
      <c r="F1469" s="84"/>
    </row>
    <row r="1470" spans="6:6" x14ac:dyDescent="0.2">
      <c r="F1470" s="84"/>
    </row>
    <row r="1471" spans="6:6" x14ac:dyDescent="0.2">
      <c r="F1471" s="84"/>
    </row>
    <row r="1472" spans="6:6" x14ac:dyDescent="0.2">
      <c r="F1472" s="84"/>
    </row>
    <row r="1473" spans="6:6" x14ac:dyDescent="0.2">
      <c r="F1473" s="84"/>
    </row>
    <row r="1474" spans="6:6" x14ac:dyDescent="0.2">
      <c r="F1474" s="84"/>
    </row>
    <row r="1475" spans="6:6" x14ac:dyDescent="0.2">
      <c r="F1475" s="84"/>
    </row>
    <row r="1476" spans="6:6" x14ac:dyDescent="0.2">
      <c r="F1476" s="84"/>
    </row>
    <row r="1477" spans="6:6" x14ac:dyDescent="0.2">
      <c r="F1477" s="84"/>
    </row>
    <row r="1478" spans="6:6" x14ac:dyDescent="0.2">
      <c r="F1478" s="84"/>
    </row>
    <row r="1479" spans="6:6" x14ac:dyDescent="0.2">
      <c r="F1479" s="84"/>
    </row>
    <row r="1480" spans="6:6" x14ac:dyDescent="0.2">
      <c r="F1480" s="84"/>
    </row>
    <row r="1481" spans="6:6" x14ac:dyDescent="0.2">
      <c r="F1481" s="84"/>
    </row>
    <row r="1482" spans="6:6" x14ac:dyDescent="0.2">
      <c r="F1482" s="84"/>
    </row>
    <row r="1483" spans="6:6" x14ac:dyDescent="0.2">
      <c r="F1483" s="84"/>
    </row>
    <row r="1484" spans="6:6" x14ac:dyDescent="0.2">
      <c r="F1484" s="84"/>
    </row>
    <row r="1485" spans="6:6" x14ac:dyDescent="0.2">
      <c r="F1485" s="84"/>
    </row>
    <row r="1486" spans="6:6" x14ac:dyDescent="0.2">
      <c r="F1486" s="84"/>
    </row>
    <row r="1487" spans="6:6" x14ac:dyDescent="0.2">
      <c r="F1487" s="84"/>
    </row>
    <row r="1488" spans="6:6" x14ac:dyDescent="0.2">
      <c r="F1488" s="84"/>
    </row>
    <row r="1489" spans="6:6" x14ac:dyDescent="0.2">
      <c r="F1489" s="84"/>
    </row>
    <row r="1490" spans="6:6" x14ac:dyDescent="0.2">
      <c r="F1490" s="84"/>
    </row>
    <row r="1491" spans="6:6" x14ac:dyDescent="0.2">
      <c r="F1491" s="84"/>
    </row>
    <row r="1492" spans="6:6" x14ac:dyDescent="0.2">
      <c r="F1492" s="84"/>
    </row>
    <row r="1493" spans="6:6" x14ac:dyDescent="0.2">
      <c r="F1493" s="84"/>
    </row>
    <row r="1494" spans="6:6" x14ac:dyDescent="0.2">
      <c r="F1494" s="84"/>
    </row>
    <row r="1495" spans="6:6" x14ac:dyDescent="0.2">
      <c r="F1495" s="84"/>
    </row>
    <row r="1496" spans="6:6" x14ac:dyDescent="0.2">
      <c r="F1496" s="84"/>
    </row>
    <row r="1497" spans="6:6" x14ac:dyDescent="0.2">
      <c r="F1497" s="84"/>
    </row>
    <row r="1498" spans="6:6" x14ac:dyDescent="0.2">
      <c r="F1498" s="84"/>
    </row>
    <row r="1499" spans="6:6" x14ac:dyDescent="0.2">
      <c r="F1499" s="84"/>
    </row>
    <row r="1500" spans="6:6" x14ac:dyDescent="0.2">
      <c r="F1500" s="84"/>
    </row>
    <row r="1501" spans="6:6" x14ac:dyDescent="0.2">
      <c r="F1501" s="84"/>
    </row>
    <row r="1502" spans="6:6" x14ac:dyDescent="0.2">
      <c r="F1502" s="84"/>
    </row>
    <row r="1503" spans="6:6" x14ac:dyDescent="0.2">
      <c r="F1503" s="84"/>
    </row>
    <row r="1504" spans="6:6" x14ac:dyDescent="0.2">
      <c r="F1504" s="84"/>
    </row>
    <row r="1505" spans="6:6" x14ac:dyDescent="0.2">
      <c r="F1505" s="84"/>
    </row>
    <row r="1506" spans="6:6" x14ac:dyDescent="0.2">
      <c r="F1506" s="84"/>
    </row>
    <row r="1507" spans="6:6" x14ac:dyDescent="0.2">
      <c r="F1507" s="84"/>
    </row>
    <row r="1508" spans="6:6" x14ac:dyDescent="0.2">
      <c r="F1508" s="84"/>
    </row>
    <row r="1509" spans="6:6" x14ac:dyDescent="0.2">
      <c r="F1509" s="84"/>
    </row>
    <row r="1510" spans="6:6" x14ac:dyDescent="0.2">
      <c r="F1510" s="84"/>
    </row>
    <row r="1511" spans="6:6" x14ac:dyDescent="0.2">
      <c r="F1511" s="84"/>
    </row>
    <row r="1512" spans="6:6" x14ac:dyDescent="0.2">
      <c r="F1512" s="84"/>
    </row>
    <row r="1513" spans="6:6" x14ac:dyDescent="0.2">
      <c r="F1513" s="84"/>
    </row>
    <row r="1514" spans="6:6" x14ac:dyDescent="0.2">
      <c r="F1514" s="84"/>
    </row>
    <row r="1515" spans="6:6" x14ac:dyDescent="0.2">
      <c r="F1515" s="84"/>
    </row>
    <row r="1516" spans="6:6" x14ac:dyDescent="0.2">
      <c r="F1516" s="84"/>
    </row>
    <row r="1517" spans="6:6" x14ac:dyDescent="0.2">
      <c r="F1517" s="84"/>
    </row>
    <row r="1518" spans="6:6" x14ac:dyDescent="0.2">
      <c r="F1518" s="84"/>
    </row>
    <row r="1519" spans="6:6" x14ac:dyDescent="0.2">
      <c r="F1519" s="84"/>
    </row>
    <row r="1520" spans="6:6" x14ac:dyDescent="0.2">
      <c r="F1520" s="84"/>
    </row>
    <row r="1521" spans="6:6" x14ac:dyDescent="0.2">
      <c r="F1521" s="84"/>
    </row>
    <row r="1522" spans="6:6" x14ac:dyDescent="0.2">
      <c r="F1522" s="84"/>
    </row>
    <row r="1523" spans="6:6" x14ac:dyDescent="0.2">
      <c r="F1523" s="84"/>
    </row>
    <row r="1524" spans="6:6" x14ac:dyDescent="0.2">
      <c r="F1524" s="84"/>
    </row>
    <row r="1525" spans="6:6" x14ac:dyDescent="0.2">
      <c r="F1525" s="84"/>
    </row>
    <row r="1526" spans="6:6" x14ac:dyDescent="0.2">
      <c r="F1526" s="84"/>
    </row>
    <row r="1527" spans="6:6" x14ac:dyDescent="0.2">
      <c r="F1527" s="84"/>
    </row>
    <row r="1528" spans="6:6" x14ac:dyDescent="0.2">
      <c r="F1528" s="84"/>
    </row>
    <row r="1529" spans="6:6" x14ac:dyDescent="0.2">
      <c r="F1529" s="84"/>
    </row>
    <row r="1530" spans="6:6" x14ac:dyDescent="0.2">
      <c r="F1530" s="84"/>
    </row>
    <row r="1531" spans="6:6" x14ac:dyDescent="0.2">
      <c r="F1531" s="84"/>
    </row>
    <row r="1532" spans="6:6" x14ac:dyDescent="0.2">
      <c r="F1532" s="84"/>
    </row>
    <row r="1533" spans="6:6" x14ac:dyDescent="0.2">
      <c r="F1533" s="84"/>
    </row>
    <row r="1534" spans="6:6" x14ac:dyDescent="0.2">
      <c r="F1534" s="84"/>
    </row>
    <row r="1535" spans="6:6" x14ac:dyDescent="0.2">
      <c r="F1535" s="84"/>
    </row>
    <row r="1536" spans="6:6" x14ac:dyDescent="0.2">
      <c r="F1536" s="84"/>
    </row>
    <row r="1537" spans="6:6" x14ac:dyDescent="0.2">
      <c r="F1537" s="84"/>
    </row>
    <row r="1538" spans="6:6" x14ac:dyDescent="0.2">
      <c r="F1538" s="84"/>
    </row>
    <row r="1539" spans="6:6" x14ac:dyDescent="0.2">
      <c r="F1539" s="84"/>
    </row>
    <row r="1540" spans="6:6" x14ac:dyDescent="0.2">
      <c r="F1540" s="84"/>
    </row>
    <row r="1541" spans="6:6" x14ac:dyDescent="0.2">
      <c r="F1541" s="84"/>
    </row>
    <row r="1542" spans="6:6" x14ac:dyDescent="0.2">
      <c r="F1542" s="84"/>
    </row>
    <row r="1543" spans="6:6" x14ac:dyDescent="0.2">
      <c r="F1543" s="84"/>
    </row>
    <row r="1544" spans="6:6" x14ac:dyDescent="0.2">
      <c r="F1544" s="84"/>
    </row>
    <row r="1545" spans="6:6" x14ac:dyDescent="0.2">
      <c r="F1545" s="84"/>
    </row>
    <row r="1546" spans="6:6" x14ac:dyDescent="0.2">
      <c r="F1546" s="84"/>
    </row>
    <row r="1547" spans="6:6" x14ac:dyDescent="0.2">
      <c r="F1547" s="84"/>
    </row>
    <row r="1548" spans="6:6" x14ac:dyDescent="0.2">
      <c r="F1548" s="84"/>
    </row>
    <row r="1549" spans="6:6" x14ac:dyDescent="0.2">
      <c r="F1549" s="84"/>
    </row>
    <row r="1550" spans="6:6" x14ac:dyDescent="0.2">
      <c r="F1550" s="84"/>
    </row>
    <row r="1551" spans="6:6" x14ac:dyDescent="0.2">
      <c r="F1551" s="84"/>
    </row>
    <row r="1552" spans="6:6" x14ac:dyDescent="0.2">
      <c r="F1552" s="84"/>
    </row>
    <row r="1553" spans="6:6" x14ac:dyDescent="0.2">
      <c r="F1553" s="84"/>
    </row>
    <row r="1554" spans="6:6" x14ac:dyDescent="0.2">
      <c r="F1554" s="84"/>
    </row>
    <row r="1555" spans="6:6" x14ac:dyDescent="0.2">
      <c r="F1555" s="84"/>
    </row>
    <row r="1556" spans="6:6" x14ac:dyDescent="0.2">
      <c r="F1556" s="84"/>
    </row>
    <row r="1557" spans="6:6" x14ac:dyDescent="0.2">
      <c r="F1557" s="84"/>
    </row>
    <row r="1558" spans="6:6" x14ac:dyDescent="0.2">
      <c r="F1558" s="84"/>
    </row>
    <row r="1559" spans="6:6" x14ac:dyDescent="0.2">
      <c r="F1559" s="84"/>
    </row>
    <row r="1560" spans="6:6" x14ac:dyDescent="0.2">
      <c r="F1560" s="84"/>
    </row>
    <row r="1561" spans="6:6" x14ac:dyDescent="0.2">
      <c r="F1561" s="84"/>
    </row>
    <row r="1562" spans="6:6" x14ac:dyDescent="0.2">
      <c r="F1562" s="84"/>
    </row>
    <row r="1563" spans="6:6" x14ac:dyDescent="0.2">
      <c r="F1563" s="84"/>
    </row>
    <row r="1564" spans="6:6" x14ac:dyDescent="0.2">
      <c r="F1564" s="84"/>
    </row>
    <row r="1565" spans="6:6" x14ac:dyDescent="0.2">
      <c r="F1565" s="84"/>
    </row>
    <row r="1566" spans="6:6" x14ac:dyDescent="0.2">
      <c r="F1566" s="84"/>
    </row>
    <row r="1567" spans="6:6" x14ac:dyDescent="0.2">
      <c r="F1567" s="84"/>
    </row>
    <row r="1568" spans="6:6" x14ac:dyDescent="0.2">
      <c r="F1568" s="84"/>
    </row>
    <row r="1569" spans="6:6" x14ac:dyDescent="0.2">
      <c r="F1569" s="84"/>
    </row>
    <row r="1570" spans="6:6" x14ac:dyDescent="0.2">
      <c r="F1570" s="84"/>
    </row>
    <row r="1571" spans="6:6" x14ac:dyDescent="0.2">
      <c r="F1571" s="84"/>
    </row>
    <row r="1572" spans="6:6" x14ac:dyDescent="0.2">
      <c r="F1572" s="84"/>
    </row>
    <row r="1573" spans="6:6" x14ac:dyDescent="0.2">
      <c r="F1573" s="84"/>
    </row>
    <row r="1574" spans="6:6" x14ac:dyDescent="0.2">
      <c r="F1574" s="84"/>
    </row>
    <row r="1575" spans="6:6" x14ac:dyDescent="0.2">
      <c r="F1575" s="84"/>
    </row>
    <row r="1576" spans="6:6" x14ac:dyDescent="0.2">
      <c r="F1576" s="84"/>
    </row>
    <row r="1577" spans="6:6" x14ac:dyDescent="0.2">
      <c r="F1577" s="84"/>
    </row>
    <row r="1578" spans="6:6" x14ac:dyDescent="0.2">
      <c r="F1578" s="84"/>
    </row>
    <row r="1579" spans="6:6" x14ac:dyDescent="0.2">
      <c r="F1579" s="84"/>
    </row>
    <row r="1580" spans="6:6" x14ac:dyDescent="0.2">
      <c r="F1580" s="84"/>
    </row>
    <row r="1581" spans="6:6" x14ac:dyDescent="0.2">
      <c r="F1581" s="84"/>
    </row>
    <row r="1582" spans="6:6" x14ac:dyDescent="0.2">
      <c r="F1582" s="84"/>
    </row>
    <row r="1583" spans="6:6" x14ac:dyDescent="0.2">
      <c r="F1583" s="84"/>
    </row>
    <row r="1584" spans="6:6" x14ac:dyDescent="0.2">
      <c r="F1584" s="84"/>
    </row>
    <row r="1585" spans="6:6" x14ac:dyDescent="0.2">
      <c r="F1585" s="84"/>
    </row>
    <row r="1586" spans="6:6" x14ac:dyDescent="0.2">
      <c r="F1586" s="84"/>
    </row>
    <row r="1587" spans="6:6" x14ac:dyDescent="0.2">
      <c r="F1587" s="84"/>
    </row>
    <row r="1588" spans="6:6" x14ac:dyDescent="0.2">
      <c r="F1588" s="84"/>
    </row>
    <row r="1589" spans="6:6" x14ac:dyDescent="0.2">
      <c r="F1589" s="84"/>
    </row>
    <row r="1590" spans="6:6" x14ac:dyDescent="0.2">
      <c r="F1590" s="84"/>
    </row>
    <row r="1591" spans="6:6" x14ac:dyDescent="0.2">
      <c r="F1591" s="84"/>
    </row>
    <row r="1592" spans="6:6" x14ac:dyDescent="0.2">
      <c r="F1592" s="84"/>
    </row>
    <row r="1593" spans="6:6" x14ac:dyDescent="0.2">
      <c r="F1593" s="84"/>
    </row>
    <row r="1594" spans="6:6" x14ac:dyDescent="0.2">
      <c r="F1594" s="84"/>
    </row>
    <row r="1595" spans="6:6" x14ac:dyDescent="0.2">
      <c r="F1595" s="84"/>
    </row>
    <row r="1596" spans="6:6" x14ac:dyDescent="0.2">
      <c r="F1596" s="84"/>
    </row>
    <row r="1597" spans="6:6" x14ac:dyDescent="0.2">
      <c r="F1597" s="84"/>
    </row>
    <row r="1598" spans="6:6" x14ac:dyDescent="0.2">
      <c r="F1598" s="84"/>
    </row>
    <row r="1599" spans="6:6" x14ac:dyDescent="0.2">
      <c r="F1599" s="84"/>
    </row>
    <row r="1600" spans="6:6" x14ac:dyDescent="0.2">
      <c r="F1600" s="84"/>
    </row>
    <row r="1601" spans="6:6" x14ac:dyDescent="0.2">
      <c r="F1601" s="84"/>
    </row>
    <row r="1602" spans="6:6" x14ac:dyDescent="0.2">
      <c r="F1602" s="84"/>
    </row>
    <row r="1603" spans="6:6" x14ac:dyDescent="0.2">
      <c r="F1603" s="84"/>
    </row>
    <row r="1604" spans="6:6" x14ac:dyDescent="0.2">
      <c r="F1604" s="84"/>
    </row>
    <row r="1605" spans="6:6" x14ac:dyDescent="0.2">
      <c r="F1605" s="84"/>
    </row>
    <row r="1606" spans="6:6" x14ac:dyDescent="0.2">
      <c r="F1606" s="84"/>
    </row>
    <row r="1607" spans="6:6" x14ac:dyDescent="0.2">
      <c r="F1607" s="84"/>
    </row>
    <row r="1608" spans="6:6" x14ac:dyDescent="0.2">
      <c r="F1608" s="84"/>
    </row>
    <row r="1609" spans="6:6" x14ac:dyDescent="0.2">
      <c r="F1609" s="84"/>
    </row>
    <row r="1610" spans="6:6" x14ac:dyDescent="0.2">
      <c r="F1610" s="84"/>
    </row>
    <row r="1611" spans="6:6" x14ac:dyDescent="0.2">
      <c r="F1611" s="84"/>
    </row>
    <row r="1612" spans="6:6" x14ac:dyDescent="0.2">
      <c r="F1612" s="84"/>
    </row>
    <row r="1613" spans="6:6" x14ac:dyDescent="0.2">
      <c r="F1613" s="84"/>
    </row>
    <row r="1614" spans="6:6" x14ac:dyDescent="0.2">
      <c r="F1614" s="84"/>
    </row>
    <row r="1615" spans="6:6" x14ac:dyDescent="0.2">
      <c r="F1615" s="84"/>
    </row>
    <row r="1616" spans="6:6" x14ac:dyDescent="0.2">
      <c r="F1616" s="84"/>
    </row>
    <row r="1617" spans="6:6" x14ac:dyDescent="0.2">
      <c r="F1617" s="84"/>
    </row>
    <row r="1618" spans="6:6" x14ac:dyDescent="0.2">
      <c r="F1618" s="84"/>
    </row>
    <row r="1619" spans="6:6" x14ac:dyDescent="0.2">
      <c r="F1619" s="84"/>
    </row>
    <row r="1620" spans="6:6" x14ac:dyDescent="0.2">
      <c r="F1620" s="84"/>
    </row>
    <row r="1621" spans="6:6" x14ac:dyDescent="0.2">
      <c r="F1621" s="84"/>
    </row>
    <row r="1622" spans="6:6" x14ac:dyDescent="0.2">
      <c r="F1622" s="84"/>
    </row>
    <row r="1623" spans="6:6" x14ac:dyDescent="0.2">
      <c r="F1623" s="84"/>
    </row>
    <row r="1624" spans="6:6" x14ac:dyDescent="0.2">
      <c r="F1624" s="84"/>
    </row>
    <row r="1625" spans="6:6" x14ac:dyDescent="0.2">
      <c r="F1625" s="84"/>
    </row>
    <row r="1626" spans="6:6" x14ac:dyDescent="0.2">
      <c r="F1626" s="84"/>
    </row>
    <row r="1627" spans="6:6" x14ac:dyDescent="0.2">
      <c r="F1627" s="84"/>
    </row>
    <row r="1628" spans="6:6" x14ac:dyDescent="0.2">
      <c r="F1628" s="84"/>
    </row>
    <row r="1629" spans="6:6" x14ac:dyDescent="0.2">
      <c r="F1629" s="84"/>
    </row>
    <row r="1630" spans="6:6" x14ac:dyDescent="0.2">
      <c r="F1630" s="84"/>
    </row>
    <row r="1631" spans="6:6" x14ac:dyDescent="0.2">
      <c r="F1631" s="84"/>
    </row>
    <row r="1632" spans="6:6" x14ac:dyDescent="0.2">
      <c r="F1632" s="84"/>
    </row>
    <row r="1633" spans="6:6" x14ac:dyDescent="0.2">
      <c r="F1633" s="84"/>
    </row>
    <row r="1634" spans="6:6" x14ac:dyDescent="0.2">
      <c r="F1634" s="84"/>
    </row>
    <row r="1635" spans="6:6" x14ac:dyDescent="0.2">
      <c r="F1635" s="84"/>
    </row>
    <row r="1636" spans="6:6" x14ac:dyDescent="0.2">
      <c r="F1636" s="84"/>
    </row>
    <row r="1637" spans="6:6" x14ac:dyDescent="0.2">
      <c r="F1637" s="84"/>
    </row>
    <row r="1638" spans="6:6" x14ac:dyDescent="0.2">
      <c r="F1638" s="84"/>
    </row>
    <row r="1639" spans="6:6" x14ac:dyDescent="0.2">
      <c r="F1639" s="84"/>
    </row>
    <row r="1640" spans="6:6" x14ac:dyDescent="0.2">
      <c r="F1640" s="84"/>
    </row>
    <row r="1641" spans="6:6" x14ac:dyDescent="0.2">
      <c r="F1641" s="84"/>
    </row>
    <row r="1642" spans="6:6" x14ac:dyDescent="0.2">
      <c r="F1642" s="84"/>
    </row>
    <row r="1643" spans="6:6" x14ac:dyDescent="0.2">
      <c r="F1643" s="84"/>
    </row>
    <row r="1644" spans="6:6" x14ac:dyDescent="0.2">
      <c r="F1644" s="84"/>
    </row>
    <row r="1645" spans="6:6" x14ac:dyDescent="0.2">
      <c r="F1645" s="84"/>
    </row>
    <row r="1646" spans="6:6" x14ac:dyDescent="0.2">
      <c r="F1646" s="84"/>
    </row>
    <row r="1647" spans="6:6" x14ac:dyDescent="0.2">
      <c r="F1647" s="84"/>
    </row>
    <row r="1648" spans="6:6" x14ac:dyDescent="0.2">
      <c r="F1648" s="84"/>
    </row>
    <row r="1649" spans="6:6" x14ac:dyDescent="0.2">
      <c r="F1649" s="84"/>
    </row>
    <row r="1650" spans="6:6" x14ac:dyDescent="0.2">
      <c r="F1650" s="84"/>
    </row>
    <row r="1651" spans="6:6" x14ac:dyDescent="0.2">
      <c r="F1651" s="84"/>
    </row>
    <row r="1652" spans="6:6" x14ac:dyDescent="0.2">
      <c r="F1652" s="84"/>
    </row>
    <row r="1653" spans="6:6" x14ac:dyDescent="0.2">
      <c r="F1653" s="84"/>
    </row>
    <row r="1654" spans="6:6" x14ac:dyDescent="0.2">
      <c r="F1654" s="84"/>
    </row>
    <row r="1655" spans="6:6" x14ac:dyDescent="0.2">
      <c r="F1655" s="84"/>
    </row>
    <row r="1656" spans="6:6" x14ac:dyDescent="0.2">
      <c r="F1656" s="84"/>
    </row>
    <row r="1657" spans="6:6" x14ac:dyDescent="0.2">
      <c r="F1657" s="84"/>
    </row>
    <row r="1658" spans="6:6" x14ac:dyDescent="0.2">
      <c r="F1658" s="84"/>
    </row>
    <row r="1659" spans="6:6" x14ac:dyDescent="0.2">
      <c r="F1659" s="84"/>
    </row>
    <row r="1660" spans="6:6" x14ac:dyDescent="0.2">
      <c r="F1660" s="84"/>
    </row>
    <row r="1661" spans="6:6" x14ac:dyDescent="0.2">
      <c r="F1661" s="84"/>
    </row>
    <row r="1662" spans="6:6" x14ac:dyDescent="0.2">
      <c r="F1662" s="84"/>
    </row>
    <row r="1663" spans="6:6" x14ac:dyDescent="0.2">
      <c r="F1663" s="84"/>
    </row>
    <row r="1664" spans="6:6" x14ac:dyDescent="0.2">
      <c r="F1664" s="84"/>
    </row>
    <row r="1665" spans="6:6" x14ac:dyDescent="0.2">
      <c r="F1665" s="84"/>
    </row>
    <row r="1666" spans="6:6" x14ac:dyDescent="0.2">
      <c r="F1666" s="84"/>
    </row>
    <row r="1667" spans="6:6" x14ac:dyDescent="0.2">
      <c r="F1667" s="84"/>
    </row>
    <row r="1668" spans="6:6" x14ac:dyDescent="0.2">
      <c r="F1668" s="84"/>
    </row>
    <row r="1669" spans="6:6" x14ac:dyDescent="0.2">
      <c r="F1669" s="84"/>
    </row>
    <row r="1670" spans="6:6" x14ac:dyDescent="0.2">
      <c r="F1670" s="84"/>
    </row>
    <row r="1671" spans="6:6" x14ac:dyDescent="0.2">
      <c r="F1671" s="84"/>
    </row>
    <row r="1672" spans="6:6" x14ac:dyDescent="0.2">
      <c r="F1672" s="84"/>
    </row>
    <row r="1673" spans="6:6" x14ac:dyDescent="0.2">
      <c r="F1673" s="84"/>
    </row>
    <row r="1674" spans="6:6" x14ac:dyDescent="0.2">
      <c r="F1674" s="84"/>
    </row>
    <row r="1675" spans="6:6" x14ac:dyDescent="0.2">
      <c r="F1675" s="84"/>
    </row>
    <row r="1676" spans="6:6" x14ac:dyDescent="0.2">
      <c r="F1676" s="84"/>
    </row>
    <row r="1677" spans="6:6" x14ac:dyDescent="0.2">
      <c r="F1677" s="84"/>
    </row>
    <row r="1678" spans="6:6" x14ac:dyDescent="0.2">
      <c r="F1678" s="84"/>
    </row>
    <row r="1679" spans="6:6" x14ac:dyDescent="0.2">
      <c r="F1679" s="84"/>
    </row>
    <row r="1680" spans="6:6" x14ac:dyDescent="0.2">
      <c r="F1680" s="84"/>
    </row>
    <row r="1681" spans="6:6" x14ac:dyDescent="0.2">
      <c r="F1681" s="84"/>
    </row>
    <row r="1682" spans="6:6" x14ac:dyDescent="0.2">
      <c r="F1682" s="84"/>
    </row>
    <row r="1683" spans="6:6" x14ac:dyDescent="0.2">
      <c r="F1683" s="84"/>
    </row>
    <row r="1684" spans="6:6" x14ac:dyDescent="0.2">
      <c r="F1684" s="84"/>
    </row>
    <row r="1685" spans="6:6" x14ac:dyDescent="0.2">
      <c r="F1685" s="84"/>
    </row>
    <row r="1686" spans="6:6" x14ac:dyDescent="0.2">
      <c r="F1686" s="84"/>
    </row>
    <row r="1687" spans="6:6" x14ac:dyDescent="0.2">
      <c r="F1687" s="84"/>
    </row>
    <row r="1688" spans="6:6" x14ac:dyDescent="0.2">
      <c r="F1688" s="84"/>
    </row>
    <row r="1689" spans="6:6" x14ac:dyDescent="0.2">
      <c r="F1689" s="84"/>
    </row>
    <row r="1690" spans="6:6" x14ac:dyDescent="0.2">
      <c r="F1690" s="84"/>
    </row>
    <row r="1691" spans="6:6" x14ac:dyDescent="0.2">
      <c r="F1691" s="84"/>
    </row>
    <row r="1692" spans="6:6" x14ac:dyDescent="0.2">
      <c r="F1692" s="84"/>
    </row>
    <row r="1693" spans="6:6" x14ac:dyDescent="0.2">
      <c r="F1693" s="84"/>
    </row>
    <row r="1694" spans="6:6" x14ac:dyDescent="0.2">
      <c r="F1694" s="84"/>
    </row>
    <row r="1695" spans="6:6" x14ac:dyDescent="0.2">
      <c r="F1695" s="84"/>
    </row>
    <row r="1696" spans="6:6" x14ac:dyDescent="0.2">
      <c r="F1696" s="84"/>
    </row>
    <row r="1697" spans="6:6" x14ac:dyDescent="0.2">
      <c r="F1697" s="84"/>
    </row>
    <row r="1698" spans="6:6" x14ac:dyDescent="0.2">
      <c r="F1698" s="84"/>
    </row>
    <row r="1699" spans="6:6" x14ac:dyDescent="0.2">
      <c r="F1699" s="84"/>
    </row>
    <row r="1700" spans="6:6" x14ac:dyDescent="0.2">
      <c r="F1700" s="84"/>
    </row>
    <row r="1701" spans="6:6" x14ac:dyDescent="0.2">
      <c r="F1701" s="84"/>
    </row>
    <row r="1702" spans="6:6" x14ac:dyDescent="0.2">
      <c r="F1702" s="84"/>
    </row>
    <row r="1703" spans="6:6" x14ac:dyDescent="0.2">
      <c r="F1703" s="84"/>
    </row>
    <row r="1704" spans="6:6" x14ac:dyDescent="0.2">
      <c r="F1704" s="84"/>
    </row>
    <row r="1705" spans="6:6" x14ac:dyDescent="0.2">
      <c r="F1705" s="84"/>
    </row>
    <row r="1706" spans="6:6" x14ac:dyDescent="0.2">
      <c r="F1706" s="84"/>
    </row>
    <row r="1707" spans="6:6" x14ac:dyDescent="0.2">
      <c r="F1707" s="84"/>
    </row>
    <row r="1708" spans="6:6" x14ac:dyDescent="0.2">
      <c r="F1708" s="84"/>
    </row>
    <row r="1709" spans="6:6" x14ac:dyDescent="0.2">
      <c r="F1709" s="84"/>
    </row>
    <row r="1710" spans="6:6" x14ac:dyDescent="0.2">
      <c r="F1710" s="84"/>
    </row>
    <row r="1711" spans="6:6" x14ac:dyDescent="0.2">
      <c r="F1711" s="84"/>
    </row>
    <row r="1712" spans="6:6" x14ac:dyDescent="0.2">
      <c r="F1712" s="84"/>
    </row>
    <row r="1713" spans="6:6" x14ac:dyDescent="0.2">
      <c r="F1713" s="84"/>
    </row>
    <row r="1714" spans="6:6" x14ac:dyDescent="0.2">
      <c r="F1714" s="84"/>
    </row>
    <row r="1715" spans="6:6" x14ac:dyDescent="0.2">
      <c r="F1715" s="84"/>
    </row>
    <row r="1716" spans="6:6" x14ac:dyDescent="0.2">
      <c r="F1716" s="84"/>
    </row>
    <row r="1717" spans="6:6" x14ac:dyDescent="0.2">
      <c r="F1717" s="84"/>
    </row>
    <row r="1718" spans="6:6" x14ac:dyDescent="0.2">
      <c r="F1718" s="84"/>
    </row>
    <row r="1719" spans="6:6" x14ac:dyDescent="0.2">
      <c r="F1719" s="84"/>
    </row>
    <row r="1720" spans="6:6" x14ac:dyDescent="0.2">
      <c r="F1720" s="84"/>
    </row>
    <row r="1721" spans="6:6" x14ac:dyDescent="0.2">
      <c r="F1721" s="84"/>
    </row>
    <row r="1722" spans="6:6" x14ac:dyDescent="0.2">
      <c r="F1722" s="84"/>
    </row>
    <row r="1723" spans="6:6" x14ac:dyDescent="0.2">
      <c r="F1723" s="84"/>
    </row>
    <row r="1724" spans="6:6" x14ac:dyDescent="0.2">
      <c r="F1724" s="84"/>
    </row>
    <row r="1725" spans="6:6" x14ac:dyDescent="0.2">
      <c r="F1725" s="84"/>
    </row>
    <row r="1726" spans="6:6" x14ac:dyDescent="0.2">
      <c r="F1726" s="84"/>
    </row>
    <row r="1727" spans="6:6" x14ac:dyDescent="0.2">
      <c r="F1727" s="84"/>
    </row>
    <row r="1728" spans="6:6" x14ac:dyDescent="0.2">
      <c r="F1728" s="84"/>
    </row>
    <row r="1729" spans="6:6" x14ac:dyDescent="0.2">
      <c r="F1729" s="84"/>
    </row>
    <row r="1730" spans="6:6" x14ac:dyDescent="0.2">
      <c r="F1730" s="84"/>
    </row>
    <row r="1731" spans="6:6" x14ac:dyDescent="0.2">
      <c r="F1731" s="84"/>
    </row>
    <row r="1732" spans="6:6" x14ac:dyDescent="0.2">
      <c r="F1732" s="84"/>
    </row>
    <row r="1733" spans="6:6" x14ac:dyDescent="0.2">
      <c r="F1733" s="84"/>
    </row>
    <row r="1734" spans="6:6" x14ac:dyDescent="0.2">
      <c r="F1734" s="84"/>
    </row>
    <row r="1735" spans="6:6" x14ac:dyDescent="0.2">
      <c r="F1735" s="84"/>
    </row>
  </sheetData>
  <sheetProtection algorithmName="SHA-512" hashValue="9ScWT63l4AcAkNZxCy49gEIitfOqHWF0JTxdSH5qCJif5utlvtdHENBhafhuU2GR/q9qPOT2wvWQA3a1CVn0aQ==" saltValue="vBJaM9cirCx0PhZXGjdSng==" spinCount="100000" sheet="1" objects="1" scenarios="1"/>
  <sortState xmlns:xlrd2="http://schemas.microsoft.com/office/spreadsheetml/2017/richdata2" ref="A2:B231">
    <sortCondition ref="A1"/>
  </sortState>
  <phoneticPr fontId="0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Plan1</vt:lpstr>
      <vt:lpstr>Plan2</vt:lpstr>
      <vt:lpstr>Plan1!Area_de_impressao</vt:lpstr>
      <vt:lpstr>try</vt:lpstr>
    </vt:vector>
  </TitlesOfParts>
  <Company>Default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Users</dc:creator>
  <cp:lastModifiedBy>Pichau</cp:lastModifiedBy>
  <cp:lastPrinted>2026-06-17T12:34:54Z</cp:lastPrinted>
  <dcterms:created xsi:type="dcterms:W3CDTF">2007-01-29T07:32:47Z</dcterms:created>
  <dcterms:modified xsi:type="dcterms:W3CDTF">2026-07-08T11:09:44Z</dcterms:modified>
</cp:coreProperties>
</file>