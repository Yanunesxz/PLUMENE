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esktop\PASTA 2026\CATÁLOGO CORPO SENSUAL\"/>
    </mc:Choice>
  </mc:AlternateContent>
  <xr:revisionPtr revIDLastSave="0" documentId="13_ncr:1_{FE9B4F4F-9844-4BF9-93AD-356EEAFB03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2" r:id="rId1"/>
    <sheet name="Plan2" sheetId="3" r:id="rId2"/>
  </sheets>
  <definedNames>
    <definedName name="_xlnm._FilterDatabase" localSheetId="1" hidden="1">Plan2!$A$205:$F$352</definedName>
    <definedName name="_xlnm.Print_Area" localSheetId="0">Plan1!$A$1:$AB$50</definedName>
    <definedName name="try">Plan2!$A$1:$F$352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2" l="1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13" i="2"/>
  <c r="AA14" i="2" l="1"/>
  <c r="AA41" i="2" l="1"/>
  <c r="AA42" i="2"/>
  <c r="AA43" i="2"/>
  <c r="AA44" i="2"/>
  <c r="AB44" i="2" l="1"/>
  <c r="AB43" i="2"/>
  <c r="AB42" i="2"/>
  <c r="AB41" i="2"/>
  <c r="AA15" i="2" l="1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B40" i="2" s="1"/>
  <c r="AB32" i="2" l="1"/>
  <c r="AB37" i="2"/>
  <c r="AB24" i="2"/>
  <c r="AB29" i="2"/>
  <c r="AB21" i="2"/>
  <c r="AB16" i="2"/>
  <c r="AB39" i="2"/>
  <c r="AB31" i="2"/>
  <c r="AB23" i="2"/>
  <c r="AB38" i="2"/>
  <c r="AB30" i="2"/>
  <c r="AB22" i="2"/>
  <c r="AB36" i="2"/>
  <c r="AB28" i="2"/>
  <c r="AB20" i="2"/>
  <c r="AB35" i="2"/>
  <c r="AB27" i="2"/>
  <c r="AB19" i="2"/>
  <c r="AB34" i="2"/>
  <c r="AB26" i="2"/>
  <c r="AB18" i="2"/>
  <c r="AB33" i="2"/>
  <c r="AB25" i="2"/>
  <c r="AB17" i="2"/>
  <c r="AB15" i="2"/>
  <c r="AB14" i="2"/>
  <c r="Z45" i="2"/>
  <c r="AA13" i="2"/>
  <c r="AB13" i="2" s="1"/>
  <c r="AB45" i="2" l="1"/>
  <c r="AB47" i="2" s="1"/>
  <c r="AB48" i="2" s="1"/>
</calcChain>
</file>

<file path=xl/sharedStrings.xml><?xml version="1.0" encoding="utf-8"?>
<sst xmlns="http://schemas.openxmlformats.org/spreadsheetml/2006/main" count="330" uniqueCount="218">
  <si>
    <t>P</t>
  </si>
  <si>
    <t>M</t>
  </si>
  <si>
    <t>G</t>
  </si>
  <si>
    <t>REF</t>
  </si>
  <si>
    <t>TOTAL</t>
  </si>
  <si>
    <t>FORMA  PGTO</t>
  </si>
  <si>
    <t>COND PGTO</t>
  </si>
  <si>
    <t>GG</t>
  </si>
  <si>
    <t>PP</t>
  </si>
  <si>
    <t>XG</t>
  </si>
  <si>
    <t>QUANT</t>
  </si>
  <si>
    <t>UNIT</t>
  </si>
  <si>
    <t>Total PÇ's</t>
  </si>
  <si>
    <t>OBSERVAÇÃO</t>
  </si>
  <si>
    <t>REPRESENTANTE :</t>
  </si>
  <si>
    <t>DATA :</t>
  </si>
  <si>
    <t>RAZÃO SOCIAL:</t>
  </si>
  <si>
    <t>ENDEREÇO:</t>
  </si>
  <si>
    <t>CIDADE:</t>
  </si>
  <si>
    <t>E-mail :</t>
  </si>
  <si>
    <t>CNPJ / CPF:</t>
  </si>
  <si>
    <t>CEP :</t>
  </si>
  <si>
    <t>TEL:</t>
  </si>
  <si>
    <t>UF:</t>
  </si>
  <si>
    <t xml:space="preserve">A VISTA </t>
  </si>
  <si>
    <t>CARTÃO</t>
  </si>
  <si>
    <t>BOLETO</t>
  </si>
  <si>
    <t>Inscrição Estadual:</t>
  </si>
  <si>
    <t>Bairro :</t>
  </si>
  <si>
    <t>Nome Fantasia:</t>
  </si>
  <si>
    <t xml:space="preserve">Nª PED </t>
  </si>
  <si>
    <t>CHEQUE</t>
  </si>
  <si>
    <t>30/60/90/120</t>
  </si>
  <si>
    <t>15/30</t>
  </si>
  <si>
    <t>A VISTA</t>
  </si>
  <si>
    <t>30/60</t>
  </si>
  <si>
    <t>20</t>
  </si>
  <si>
    <t>10</t>
  </si>
  <si>
    <t>28</t>
  </si>
  <si>
    <t>15/30/45</t>
  </si>
  <si>
    <t>30/45/60</t>
  </si>
  <si>
    <t>45</t>
  </si>
  <si>
    <t>Personalizada:</t>
  </si>
  <si>
    <t>Data da Entrega:</t>
  </si>
  <si>
    <t xml:space="preserve">FRETE </t>
  </si>
  <si>
    <t>COND DE PAGAMENTO</t>
  </si>
  <si>
    <t xml:space="preserve">(FOB) Pago p/ Cliente </t>
  </si>
  <si>
    <t>(CIF) Pago p/ Fábrica</t>
  </si>
  <si>
    <t>WhatsApp</t>
  </si>
  <si>
    <t>0015E</t>
  </si>
  <si>
    <t>0080E</t>
  </si>
  <si>
    <t>0083E</t>
  </si>
  <si>
    <t>0085E</t>
  </si>
  <si>
    <t>0086E</t>
  </si>
  <si>
    <t>0087E</t>
  </si>
  <si>
    <t>0088E</t>
  </si>
  <si>
    <t>0090E</t>
  </si>
  <si>
    <t>0091E</t>
  </si>
  <si>
    <t>0092E</t>
  </si>
  <si>
    <t>0093E</t>
  </si>
  <si>
    <t>0094E</t>
  </si>
  <si>
    <t>0095E</t>
  </si>
  <si>
    <t>0096E</t>
  </si>
  <si>
    <t>0106E</t>
  </si>
  <si>
    <t>0109E</t>
  </si>
  <si>
    <t>0110E</t>
  </si>
  <si>
    <t>0111E</t>
  </si>
  <si>
    <t>0115E</t>
  </si>
  <si>
    <t>0116E</t>
  </si>
  <si>
    <t>0123E</t>
  </si>
  <si>
    <t>0125E</t>
  </si>
  <si>
    <t>0126E</t>
  </si>
  <si>
    <t>0128E</t>
  </si>
  <si>
    <t>0129E</t>
  </si>
  <si>
    <t>0130E</t>
  </si>
  <si>
    <t>0131E</t>
  </si>
  <si>
    <t>0135E</t>
  </si>
  <si>
    <t>0140E</t>
  </si>
  <si>
    <t>0145E</t>
  </si>
  <si>
    <t>0159E</t>
  </si>
  <si>
    <t>0160E</t>
  </si>
  <si>
    <t>0161E</t>
  </si>
  <si>
    <t>0171E</t>
  </si>
  <si>
    <t>0172E</t>
  </si>
  <si>
    <t>0180E</t>
  </si>
  <si>
    <t>0199E</t>
  </si>
  <si>
    <t>0200E</t>
  </si>
  <si>
    <t>0216E</t>
  </si>
  <si>
    <t>0240E</t>
  </si>
  <si>
    <t>0245E</t>
  </si>
  <si>
    <t>0310E</t>
  </si>
  <si>
    <t>0316E</t>
  </si>
  <si>
    <t>0320E</t>
  </si>
  <si>
    <t>0321E</t>
  </si>
  <si>
    <t>0325E</t>
  </si>
  <si>
    <t>0327E</t>
  </si>
  <si>
    <t>0328E</t>
  </si>
  <si>
    <t>0329E</t>
  </si>
  <si>
    <t>0330E</t>
  </si>
  <si>
    <t>0350E</t>
  </si>
  <si>
    <t>0360E</t>
  </si>
  <si>
    <t>0380E</t>
  </si>
  <si>
    <t>0390E</t>
  </si>
  <si>
    <t>0395E</t>
  </si>
  <si>
    <t>0400E</t>
  </si>
  <si>
    <t>0405E</t>
  </si>
  <si>
    <t>0429E</t>
  </si>
  <si>
    <t>0430E</t>
  </si>
  <si>
    <t>0450E</t>
  </si>
  <si>
    <t>0499E</t>
  </si>
  <si>
    <t>0500E</t>
  </si>
  <si>
    <t>0502E</t>
  </si>
  <si>
    <t>0550E</t>
  </si>
  <si>
    <t>0570E</t>
  </si>
  <si>
    <t>0580E</t>
  </si>
  <si>
    <t>0581E</t>
  </si>
  <si>
    <t>0582E</t>
  </si>
  <si>
    <t>0590E</t>
  </si>
  <si>
    <t>0595E</t>
  </si>
  <si>
    <t>0600E</t>
  </si>
  <si>
    <t>0601E</t>
  </si>
  <si>
    <t>0605E</t>
  </si>
  <si>
    <t>0640E</t>
  </si>
  <si>
    <t>0650E</t>
  </si>
  <si>
    <t>0690E</t>
  </si>
  <si>
    <t>0710E</t>
  </si>
  <si>
    <t>0711E</t>
  </si>
  <si>
    <t>0720E</t>
  </si>
  <si>
    <t>0721E</t>
  </si>
  <si>
    <t>0730E</t>
  </si>
  <si>
    <t>0750E</t>
  </si>
  <si>
    <t>0760E</t>
  </si>
  <si>
    <t>0770E</t>
  </si>
  <si>
    <t>0800E</t>
  </si>
  <si>
    <t>0830E</t>
  </si>
  <si>
    <t>0841E</t>
  </si>
  <si>
    <t>0845E</t>
  </si>
  <si>
    <t>0852E</t>
  </si>
  <si>
    <t>0853E</t>
  </si>
  <si>
    <t>0854E</t>
  </si>
  <si>
    <t>0855E</t>
  </si>
  <si>
    <t>0870E</t>
  </si>
  <si>
    <t>0880E</t>
  </si>
  <si>
    <t>0901E</t>
  </si>
  <si>
    <t>0911E</t>
  </si>
  <si>
    <t>2013E</t>
  </si>
  <si>
    <t>2130E</t>
  </si>
  <si>
    <t>2131E</t>
  </si>
  <si>
    <t>2134E</t>
  </si>
  <si>
    <t>2226E</t>
  </si>
  <si>
    <t>4130E</t>
  </si>
  <si>
    <t>4131E</t>
  </si>
  <si>
    <t>PEDIDO - CS</t>
  </si>
  <si>
    <t>Valor Parcial</t>
  </si>
  <si>
    <t>DESC  %</t>
  </si>
  <si>
    <t>R$</t>
  </si>
  <si>
    <t>*PROMOÇÃO*</t>
  </si>
  <si>
    <t>0122E</t>
  </si>
  <si>
    <t>0301E</t>
  </si>
  <si>
    <t>0174E</t>
  </si>
  <si>
    <t>0175E</t>
  </si>
  <si>
    <t>0220E</t>
  </si>
  <si>
    <t>0221E</t>
  </si>
  <si>
    <t>0222E</t>
  </si>
  <si>
    <t>0223E</t>
  </si>
  <si>
    <t>0169E</t>
  </si>
  <si>
    <t>0260E</t>
  </si>
  <si>
    <t>0070E</t>
  </si>
  <si>
    <t>0072E</t>
  </si>
  <si>
    <t>0304E</t>
  </si>
  <si>
    <t>0307E</t>
  </si>
  <si>
    <t>0354E</t>
  </si>
  <si>
    <t>0355E</t>
  </si>
  <si>
    <t>0358E</t>
  </si>
  <si>
    <t>0501E</t>
  </si>
  <si>
    <t>0702E</t>
  </si>
  <si>
    <t>0703E</t>
  </si>
  <si>
    <t>0704E</t>
  </si>
  <si>
    <t>0705E</t>
  </si>
  <si>
    <t>0706E</t>
  </si>
  <si>
    <t>0714E</t>
  </si>
  <si>
    <t>0715E</t>
  </si>
  <si>
    <t>0716E</t>
  </si>
  <si>
    <t>XG2</t>
  </si>
  <si>
    <t>XG3</t>
  </si>
  <si>
    <t>XG4</t>
  </si>
  <si>
    <t>PLUS</t>
  </si>
  <si>
    <t>JUVENIL</t>
  </si>
  <si>
    <t>INFANTIL / ADULTO</t>
  </si>
  <si>
    <t>TAMANHOS</t>
  </si>
  <si>
    <t>Contato:</t>
  </si>
  <si>
    <t>44/46</t>
  </si>
  <si>
    <t>0107E</t>
  </si>
  <si>
    <t>0359E</t>
  </si>
  <si>
    <t>0402E</t>
  </si>
  <si>
    <t>0719E</t>
  </si>
  <si>
    <t>0848E</t>
  </si>
  <si>
    <t>0849E</t>
  </si>
  <si>
    <t>0851E</t>
  </si>
  <si>
    <t>0990E</t>
  </si>
  <si>
    <t>1001E</t>
  </si>
  <si>
    <t>1002E</t>
  </si>
  <si>
    <t>1003E</t>
  </si>
  <si>
    <t>1004E</t>
  </si>
  <si>
    <t>1005E</t>
  </si>
  <si>
    <t>1008E</t>
  </si>
  <si>
    <t>1009E</t>
  </si>
  <si>
    <t>1025E</t>
  </si>
  <si>
    <t>1026E</t>
  </si>
  <si>
    <t>1027E</t>
  </si>
  <si>
    <t>1030E</t>
  </si>
  <si>
    <t>1031E</t>
  </si>
  <si>
    <t>1032E</t>
  </si>
  <si>
    <t>1033E</t>
  </si>
  <si>
    <t>1034E</t>
  </si>
  <si>
    <t>1035E</t>
  </si>
  <si>
    <t>1043E</t>
  </si>
  <si>
    <t>1042E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</si>
</sst>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000000000\-00"/>
    <numFmt numFmtId="167" formatCode="00000\-000"/>
    <numFmt numFmtId="168" formatCode="0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12"/>
      <color rgb="FF002060"/>
      <name val="Arial"/>
      <family val="2"/>
    </font>
    <font>
      <b/>
      <sz val="20"/>
      <color theme="5" tint="-0.499984740745262"/>
      <name val="Cambria"/>
      <family val="1"/>
      <scheme val="major"/>
    </font>
    <font>
      <b/>
      <sz val="1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44" fontId="13" fillId="0" borderId="0" applyFont="0" applyFill="0" applyBorder="0" applyAlignment="0" applyProtection="0"/>
  </cellStyleXfs>
  <cellXfs count="173">
    <xf numFmtId="0" fontId="0" fillId="0" borderId="0" xfId="0"/>
    <xf numFmtId="0" fontId="4" fillId="0" borderId="0" xfId="0" applyFont="1"/>
    <xf numFmtId="0" fontId="6" fillId="0" borderId="0" xfId="0" applyFont="1"/>
    <xf numFmtId="165" fontId="3" fillId="0" borderId="1" xfId="1" applyFont="1" applyBorder="1" applyAlignment="1">
      <alignment horizontal="center"/>
    </xf>
    <xf numFmtId="165" fontId="3" fillId="0" borderId="1" xfId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2" fillId="0" borderId="0" xfId="0" applyFont="1"/>
    <xf numFmtId="0" fontId="2" fillId="0" borderId="0" xfId="0" applyFont="1"/>
    <xf numFmtId="0" fontId="5" fillId="0" borderId="0" xfId="0" applyFont="1"/>
    <xf numFmtId="0" fontId="2" fillId="0" borderId="0" xfId="0" quotePrefix="1" applyFont="1"/>
    <xf numFmtId="168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 vertical="center"/>
    </xf>
    <xf numFmtId="165" fontId="3" fillId="0" borderId="1" xfId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wrapText="1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4" borderId="3" xfId="0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22" xfId="0" applyFont="1" applyBorder="1" applyAlignment="1">
      <alignment vertical="center"/>
    </xf>
    <xf numFmtId="0" fontId="7" fillId="0" borderId="13" xfId="0" applyFont="1" applyBorder="1" applyAlignment="1">
      <alignment horizontal="center"/>
    </xf>
    <xf numFmtId="44" fontId="2" fillId="0" borderId="1" xfId="4" applyFont="1" applyFill="1" applyBorder="1" applyProtection="1"/>
    <xf numFmtId="44" fontId="5" fillId="0" borderId="6" xfId="4" applyFont="1" applyFill="1" applyBorder="1" applyProtection="1"/>
    <xf numFmtId="0" fontId="0" fillId="0" borderId="13" xfId="0" applyBorder="1" applyAlignment="1">
      <alignment horizontal="center"/>
    </xf>
    <xf numFmtId="0" fontId="2" fillId="0" borderId="11" xfId="0" applyFont="1" applyBorder="1" applyAlignment="1">
      <alignment horizontal="right"/>
    </xf>
    <xf numFmtId="164" fontId="2" fillId="0" borderId="27" xfId="0" applyNumberFormat="1" applyFont="1" applyBorder="1"/>
    <xf numFmtId="164" fontId="7" fillId="0" borderId="7" xfId="0" applyNumberFormat="1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 vertical="center"/>
      <protection locked="0"/>
    </xf>
    <xf numFmtId="3" fontId="17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 applyProtection="1">
      <alignment vertical="center"/>
      <protection locked="0"/>
    </xf>
    <xf numFmtId="168" fontId="5" fillId="4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>
      <alignment horizontal="center"/>
    </xf>
    <xf numFmtId="164" fontId="7" fillId="0" borderId="29" xfId="0" applyNumberFormat="1" applyFont="1" applyBorder="1" applyAlignment="1">
      <alignment horizontal="center"/>
    </xf>
    <xf numFmtId="44" fontId="2" fillId="0" borderId="30" xfId="4" applyFont="1" applyFill="1" applyBorder="1" applyProtection="1"/>
    <xf numFmtId="44" fontId="5" fillId="0" borderId="31" xfId="4" applyFont="1" applyFill="1" applyBorder="1" applyProtection="1"/>
    <xf numFmtId="0" fontId="14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5" xfId="0" applyFont="1" applyBorder="1" applyAlignment="1" applyProtection="1">
      <alignment horizontal="center" vertical="center"/>
      <protection locked="0"/>
    </xf>
    <xf numFmtId="168" fontId="5" fillId="4" borderId="35" xfId="0" applyNumberFormat="1" applyFont="1" applyFill="1" applyBorder="1" applyAlignment="1" applyProtection="1">
      <alignment horizontal="center" vertical="center"/>
      <protection locked="0"/>
    </xf>
    <xf numFmtId="164" fontId="7" fillId="0" borderId="36" xfId="0" applyNumberFormat="1" applyFont="1" applyBorder="1" applyAlignment="1">
      <alignment horizontal="center"/>
    </xf>
    <xf numFmtId="44" fontId="2" fillId="0" borderId="35" xfId="4" applyFont="1" applyFill="1" applyBorder="1" applyProtection="1"/>
    <xf numFmtId="44" fontId="5" fillId="0" borderId="37" xfId="4" applyFont="1" applyFill="1" applyBorder="1" applyProtection="1"/>
    <xf numFmtId="0" fontId="5" fillId="0" borderId="11" xfId="0" applyFont="1" applyBorder="1" applyAlignment="1">
      <alignment horizontal="center" vertical="center"/>
    </xf>
    <xf numFmtId="44" fontId="5" fillId="0" borderId="11" xfId="4" applyFont="1" applyFill="1" applyBorder="1" applyAlignment="1" applyProtection="1">
      <alignment horizontal="right" vertical="center"/>
    </xf>
    <xf numFmtId="4" fontId="2" fillId="0" borderId="21" xfId="0" applyNumberFormat="1" applyFont="1" applyBorder="1" applyProtection="1">
      <protection locked="0"/>
    </xf>
    <xf numFmtId="4" fontId="2" fillId="0" borderId="27" xfId="0" applyNumberFormat="1" applyFont="1" applyBorder="1" applyAlignment="1">
      <alignment horizontal="right" vertical="center"/>
    </xf>
    <xf numFmtId="9" fontId="2" fillId="4" borderId="11" xfId="0" applyNumberFormat="1" applyFont="1" applyFill="1" applyBorder="1" applyAlignment="1" applyProtection="1">
      <alignment horizontal="right" vertical="center"/>
      <protection locked="0"/>
    </xf>
    <xf numFmtId="4" fontId="2" fillId="4" borderId="16" xfId="0" applyNumberFormat="1" applyFont="1" applyFill="1" applyBorder="1" applyAlignment="1">
      <alignment vertical="center"/>
    </xf>
    <xf numFmtId="4" fontId="2" fillId="0" borderId="11" xfId="0" applyNumberFormat="1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9" fillId="4" borderId="23" xfId="0" applyFont="1" applyFill="1" applyBorder="1" applyAlignment="1" applyProtection="1">
      <alignment vertical="center"/>
      <protection locked="0"/>
    </xf>
    <xf numFmtId="0" fontId="0" fillId="0" borderId="43" xfId="0" applyBorder="1" applyProtection="1">
      <protection locked="0"/>
    </xf>
    <xf numFmtId="168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1" applyFont="1" applyBorder="1" applyAlignment="1">
      <alignment horizontal="center"/>
    </xf>
    <xf numFmtId="0" fontId="6" fillId="0" borderId="0" xfId="0" applyFont="1" applyAlignment="1">
      <alignment horizontal="left"/>
    </xf>
    <xf numFmtId="165" fontId="10" fillId="0" borderId="0" xfId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65" fontId="3" fillId="0" borderId="2" xfId="1" applyFont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4" borderId="13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3" fontId="17" fillId="5" borderId="1" xfId="0" applyNumberFormat="1" applyFont="1" applyFill="1" applyBorder="1" applyAlignment="1">
      <alignment horizontal="center" vertical="center"/>
    </xf>
    <xf numFmtId="167" fontId="17" fillId="5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3" borderId="24" xfId="0" applyFont="1" applyFill="1" applyBorder="1" applyAlignment="1" applyProtection="1">
      <alignment horizontal="center" vertical="center"/>
      <protection locked="0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14" fillId="4" borderId="8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 applyProtection="1">
      <alignment horizontal="center" vertical="center"/>
      <protection locked="0"/>
    </xf>
    <xf numFmtId="3" fontId="5" fillId="4" borderId="13" xfId="0" applyNumberFormat="1" applyFont="1" applyFill="1" applyBorder="1" applyAlignment="1" applyProtection="1">
      <alignment horizontal="center" vertical="center"/>
      <protection locked="0"/>
    </xf>
    <xf numFmtId="3" fontId="5" fillId="4" borderId="2" xfId="0" applyNumberFormat="1" applyFont="1" applyFill="1" applyBorder="1" applyAlignment="1" applyProtection="1">
      <alignment horizontal="center" vertical="center"/>
      <protection locked="0"/>
    </xf>
    <xf numFmtId="3" fontId="14" fillId="4" borderId="3" xfId="0" applyNumberFormat="1" applyFont="1" applyFill="1" applyBorder="1" applyAlignment="1" applyProtection="1">
      <alignment horizontal="center" vertical="center"/>
      <protection locked="0"/>
    </xf>
    <xf numFmtId="3" fontId="14" fillId="4" borderId="13" xfId="0" applyNumberFormat="1" applyFont="1" applyFill="1" applyBorder="1" applyAlignment="1" applyProtection="1">
      <alignment horizontal="center" vertical="center"/>
      <protection locked="0"/>
    </xf>
    <xf numFmtId="3" fontId="1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22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center"/>
    </xf>
    <xf numFmtId="166" fontId="2" fillId="0" borderId="24" xfId="0" applyNumberFormat="1" applyFont="1" applyBorder="1" applyAlignment="1" applyProtection="1">
      <alignment horizontal="center" vertical="center"/>
      <protection locked="0"/>
    </xf>
    <xf numFmtId="166" fontId="2" fillId="0" borderId="26" xfId="0" applyNumberFormat="1" applyFont="1" applyBorder="1" applyAlignment="1" applyProtection="1">
      <alignment horizontal="center" vertical="center"/>
      <protection locked="0"/>
    </xf>
    <xf numFmtId="166" fontId="2" fillId="0" borderId="25" xfId="0" applyNumberFormat="1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left"/>
      <protection locked="0"/>
    </xf>
    <xf numFmtId="0" fontId="5" fillId="0" borderId="21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17" xfId="0" applyFont="1" applyBorder="1" applyAlignment="1" applyProtection="1">
      <alignment horizontal="left" vertical="top" wrapText="1"/>
      <protection locked="0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5" fillId="0" borderId="14" xfId="0" applyFont="1" applyBorder="1" applyAlignment="1" applyProtection="1">
      <alignment horizontal="left" vertical="top" wrapText="1"/>
      <protection locked="0"/>
    </xf>
    <xf numFmtId="0" fontId="5" fillId="0" borderId="20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0" borderId="19" xfId="0" applyFont="1" applyBorder="1" applyAlignment="1" applyProtection="1">
      <alignment horizontal="left" vertical="top" wrapText="1"/>
      <protection locked="0"/>
    </xf>
    <xf numFmtId="44" fontId="18" fillId="0" borderId="14" xfId="4" applyFont="1" applyFill="1" applyBorder="1" applyAlignment="1" applyProtection="1">
      <alignment horizontal="center" vertical="center"/>
    </xf>
    <xf numFmtId="44" fontId="18" fillId="0" borderId="19" xfId="4" applyFont="1" applyFill="1" applyBorder="1" applyAlignment="1" applyProtection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0" fontId="19" fillId="4" borderId="41" xfId="0" applyFont="1" applyFill="1" applyBorder="1" applyAlignment="1">
      <alignment horizontal="center" vertical="center"/>
    </xf>
    <xf numFmtId="0" fontId="19" fillId="4" borderId="4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2" xfId="0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14" fontId="5" fillId="0" borderId="38" xfId="0" applyNumberFormat="1" applyFont="1" applyBorder="1" applyAlignment="1" applyProtection="1">
      <alignment horizontal="center" vertical="center"/>
      <protection locked="0"/>
    </xf>
    <xf numFmtId="0" fontId="5" fillId="0" borderId="39" xfId="0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3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167" fontId="17" fillId="0" borderId="24" xfId="0" applyNumberFormat="1" applyFont="1" applyBorder="1" applyAlignment="1">
      <alignment horizontal="center" vertical="center"/>
    </xf>
    <xf numFmtId="167" fontId="17" fillId="0" borderId="25" xfId="0" applyNumberFormat="1" applyFont="1" applyBorder="1" applyAlignment="1">
      <alignment horizontal="center" vertical="center"/>
    </xf>
    <xf numFmtId="0" fontId="21" fillId="3" borderId="35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>
      <alignment horizontal="center"/>
    </xf>
  </cellXfs>
  <cellStyles count="5">
    <cellStyle name="Hiperlink 2" xfId="3" xr:uid="{00000000-0005-0000-0000-000000000000}"/>
    <cellStyle name="Moeda" xfId="4" builtinId="4"/>
    <cellStyle name="Normal" xfId="0" builtinId="0"/>
    <cellStyle name="Normal 2" xfId="2" xr:uid="{00000000-0005-0000-0000-000003000000}"/>
    <cellStyle name="Vírgula" xfId="1" builtinId="3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180975</xdr:colOff>
      <xdr:row>45</xdr:row>
      <xdr:rowOff>38100</xdr:rowOff>
    </xdr:from>
    <xdr:to>
      <xdr:col>25</xdr:col>
      <xdr:colOff>476250</xdr:colOff>
      <xdr:row>48</xdr:row>
      <xdr:rowOff>228600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3058775"/>
          <a:ext cx="10382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55"/>
  <sheetViews>
    <sheetView tabSelected="1" zoomScaleNormal="100" zoomScaleSheetLayoutView="100" workbookViewId="0">
      <selection activeCell="D50" sqref="D50:AB50"/>
    </sheetView>
  </sheetViews>
  <sheetFormatPr defaultRowHeight="12.75" x14ac:dyDescent="0.2"/>
  <cols>
    <col min="1" max="1" width="8.7109375" style="19" customWidth="1"/>
    <col min="2" max="2" width="7" style="19" customWidth="1"/>
    <col min="3" max="3" width="2.85546875" style="19" customWidth="1"/>
    <col min="4" max="4" width="3.5703125" style="19" customWidth="1"/>
    <col min="5" max="5" width="4.140625" style="19" customWidth="1"/>
    <col min="6" max="7" width="3.140625" style="19" customWidth="1"/>
    <col min="8" max="8" width="3" style="19" customWidth="1"/>
    <col min="9" max="9" width="0.85546875" style="19" customWidth="1"/>
    <col min="10" max="10" width="3" style="19" hidden="1" customWidth="1"/>
    <col min="11" max="11" width="2.5703125" style="19" customWidth="1"/>
    <col min="12" max="24" width="5.5703125" style="19" customWidth="1"/>
    <col min="25" max="25" width="2" style="29" hidden="1" customWidth="1"/>
    <col min="26" max="26" width="9.5703125" style="19" customWidth="1"/>
    <col min="27" max="27" width="12.7109375" style="19" customWidth="1"/>
    <col min="28" max="28" width="17.28515625" style="19" customWidth="1"/>
    <col min="29" max="30" width="9.140625" style="19"/>
    <col min="31" max="31" width="58" style="19" customWidth="1"/>
    <col min="32" max="32" width="0" style="19" hidden="1" customWidth="1"/>
    <col min="33" max="33" width="19.5703125" style="19" hidden="1" customWidth="1"/>
    <col min="34" max="16384" width="9.140625" style="19"/>
  </cols>
  <sheetData>
    <row r="1" spans="1:33" ht="26.25" customHeight="1" x14ac:dyDescent="0.2">
      <c r="A1" s="153" t="s">
        <v>152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78"/>
    </row>
    <row r="2" spans="1:33" ht="15" customHeight="1" thickBot="1" x14ac:dyDescent="0.25">
      <c r="A2" s="20" t="s">
        <v>15</v>
      </c>
      <c r="B2" s="159"/>
      <c r="C2" s="160"/>
      <c r="D2" s="160"/>
      <c r="E2" s="161"/>
      <c r="F2" s="162" t="s">
        <v>29</v>
      </c>
      <c r="G2" s="163"/>
      <c r="H2" s="163"/>
      <c r="I2" s="163"/>
      <c r="J2" s="163"/>
      <c r="K2" s="163"/>
      <c r="L2" s="163"/>
      <c r="M2" s="164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76" t="s">
        <v>30</v>
      </c>
      <c r="AB2" s="77"/>
      <c r="AE2" s="21"/>
    </row>
    <row r="3" spans="1:33" ht="15.75" thickTop="1" thickBot="1" x14ac:dyDescent="0.25">
      <c r="A3" s="97" t="s">
        <v>16</v>
      </c>
      <c r="B3" s="99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E3" s="21"/>
    </row>
    <row r="4" spans="1:33" ht="16.5" thickTop="1" thickBot="1" x14ac:dyDescent="0.25">
      <c r="A4" s="117" t="s">
        <v>17</v>
      </c>
      <c r="B4" s="117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E4" s="21"/>
      <c r="AF4" s="11">
        <v>15</v>
      </c>
      <c r="AG4" s="38"/>
    </row>
    <row r="5" spans="1:33" ht="16.5" thickTop="1" thickBot="1" x14ac:dyDescent="0.25">
      <c r="A5" s="117" t="s">
        <v>18</v>
      </c>
      <c r="B5" s="117"/>
      <c r="C5" s="122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4"/>
      <c r="O5" s="97" t="s">
        <v>28</v>
      </c>
      <c r="P5" s="98"/>
      <c r="Q5" s="98"/>
      <c r="R5" s="99"/>
      <c r="S5" s="166"/>
      <c r="T5" s="168"/>
      <c r="U5" s="168"/>
      <c r="V5" s="168"/>
      <c r="W5" s="168"/>
      <c r="X5" s="168"/>
      <c r="Y5" s="168"/>
      <c r="Z5" s="167"/>
      <c r="AA5" s="30" t="s">
        <v>23</v>
      </c>
      <c r="AB5" s="22"/>
      <c r="AE5" s="21"/>
      <c r="AF5" s="11" t="s">
        <v>49</v>
      </c>
      <c r="AG5" s="38"/>
    </row>
    <row r="6" spans="1:33" ht="16.5" thickTop="1" thickBot="1" x14ac:dyDescent="0.25">
      <c r="A6" s="155" t="s">
        <v>21</v>
      </c>
      <c r="B6" s="156"/>
      <c r="C6" s="122"/>
      <c r="D6" s="123"/>
      <c r="E6" s="123"/>
      <c r="F6" s="123"/>
      <c r="G6" s="123"/>
      <c r="H6" s="97" t="s">
        <v>22</v>
      </c>
      <c r="I6" s="98"/>
      <c r="J6" s="98"/>
      <c r="K6" s="99"/>
      <c r="L6" s="166"/>
      <c r="M6" s="168"/>
      <c r="N6" s="168"/>
      <c r="O6" s="168"/>
      <c r="P6" s="167"/>
      <c r="Q6" s="169" t="s">
        <v>48</v>
      </c>
      <c r="R6" s="170"/>
      <c r="S6" s="122"/>
      <c r="T6" s="123"/>
      <c r="U6" s="123"/>
      <c r="V6" s="123"/>
      <c r="W6" s="124"/>
      <c r="X6" s="97" t="s">
        <v>190</v>
      </c>
      <c r="Y6" s="98"/>
      <c r="Z6" s="99"/>
      <c r="AA6" s="166"/>
      <c r="AB6" s="167"/>
      <c r="AE6" s="21"/>
      <c r="AF6" s="11">
        <v>80</v>
      </c>
      <c r="AG6" s="38"/>
    </row>
    <row r="7" spans="1:33" ht="16.5" thickTop="1" thickBot="1" x14ac:dyDescent="0.25">
      <c r="A7" s="117" t="s">
        <v>20</v>
      </c>
      <c r="B7" s="117"/>
      <c r="C7" s="119"/>
      <c r="D7" s="120"/>
      <c r="E7" s="120"/>
      <c r="F7" s="120"/>
      <c r="G7" s="120"/>
      <c r="H7" s="120"/>
      <c r="I7" s="120"/>
      <c r="J7" s="120"/>
      <c r="K7" s="120"/>
      <c r="L7" s="121"/>
      <c r="M7" s="30" t="s">
        <v>27</v>
      </c>
      <c r="N7" s="30"/>
      <c r="O7" s="30"/>
      <c r="P7" s="30"/>
      <c r="Q7" s="122"/>
      <c r="R7" s="123"/>
      <c r="S7" s="123"/>
      <c r="T7" s="124"/>
      <c r="U7" s="97" t="s">
        <v>19</v>
      </c>
      <c r="V7" s="99"/>
      <c r="W7" s="122"/>
      <c r="X7" s="123"/>
      <c r="Y7" s="123"/>
      <c r="Z7" s="123"/>
      <c r="AA7" s="123"/>
      <c r="AB7" s="124"/>
      <c r="AE7" s="21"/>
      <c r="AF7" s="11" t="s">
        <v>50</v>
      </c>
      <c r="AG7" s="38"/>
    </row>
    <row r="8" spans="1:33" ht="16.5" thickTop="1" thickBot="1" x14ac:dyDescent="0.25">
      <c r="A8" s="117" t="s">
        <v>6</v>
      </c>
      <c r="B8" s="117"/>
      <c r="C8" s="100"/>
      <c r="D8" s="101"/>
      <c r="E8" s="101"/>
      <c r="F8" s="101"/>
      <c r="G8" s="101"/>
      <c r="H8" s="101"/>
      <c r="I8" s="101"/>
      <c r="J8" s="101"/>
      <c r="K8" s="101"/>
      <c r="L8" s="101"/>
      <c r="M8" s="102"/>
      <c r="N8" s="97" t="s">
        <v>5</v>
      </c>
      <c r="O8" s="98"/>
      <c r="P8" s="99"/>
      <c r="Q8" s="100"/>
      <c r="R8" s="101"/>
      <c r="S8" s="101"/>
      <c r="T8" s="101"/>
      <c r="U8" s="97" t="s">
        <v>43</v>
      </c>
      <c r="V8" s="98"/>
      <c r="W8" s="98"/>
      <c r="X8" s="99"/>
      <c r="Y8" s="23"/>
      <c r="Z8" s="100"/>
      <c r="AA8" s="101"/>
      <c r="AB8" s="102"/>
      <c r="AE8" s="21"/>
      <c r="AF8" s="11">
        <v>83</v>
      </c>
      <c r="AG8" s="38"/>
    </row>
    <row r="9" spans="1:33" ht="15.75" thickTop="1" x14ac:dyDescent="0.2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10"/>
      <c r="L9" s="94" t="s">
        <v>188</v>
      </c>
      <c r="M9" s="94"/>
      <c r="N9" s="94"/>
      <c r="O9" s="94"/>
      <c r="P9" s="94"/>
      <c r="Q9" s="96" t="s">
        <v>186</v>
      </c>
      <c r="R9" s="96"/>
      <c r="S9" s="96"/>
      <c r="T9" s="96"/>
      <c r="U9" s="95" t="s">
        <v>187</v>
      </c>
      <c r="V9" s="95"/>
      <c r="W9" s="95"/>
      <c r="X9" s="95"/>
      <c r="Y9" s="43"/>
      <c r="Z9" s="95"/>
      <c r="AA9" s="95"/>
      <c r="AB9" s="95"/>
      <c r="AE9" s="21"/>
      <c r="AF9" s="12"/>
      <c r="AG9" s="38"/>
    </row>
    <row r="10" spans="1:33" ht="15" x14ac:dyDescent="0.2">
      <c r="A10" s="103" t="s">
        <v>189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5"/>
      <c r="L10" s="44"/>
      <c r="M10" s="44">
        <v>2</v>
      </c>
      <c r="N10" s="45">
        <v>4</v>
      </c>
      <c r="O10" s="45">
        <v>6</v>
      </c>
      <c r="P10" s="45">
        <v>8</v>
      </c>
      <c r="Q10" s="111"/>
      <c r="R10" s="112"/>
      <c r="S10" s="112"/>
      <c r="T10" s="113"/>
      <c r="U10" s="55">
        <v>10</v>
      </c>
      <c r="V10" s="55">
        <v>12</v>
      </c>
      <c r="W10" s="55">
        <v>14</v>
      </c>
      <c r="X10" s="54">
        <v>16</v>
      </c>
      <c r="Y10" s="46"/>
      <c r="Z10" s="96"/>
      <c r="AA10" s="96"/>
      <c r="AB10" s="96"/>
      <c r="AE10" s="21"/>
      <c r="AF10" s="12"/>
      <c r="AG10" s="38"/>
    </row>
    <row r="11" spans="1:33" ht="15.75" customHeight="1" x14ac:dyDescent="0.2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  <c r="L11" s="54" t="s">
        <v>8</v>
      </c>
      <c r="M11" s="54" t="s">
        <v>0</v>
      </c>
      <c r="N11" s="54" t="s">
        <v>1</v>
      </c>
      <c r="O11" s="54" t="s">
        <v>2</v>
      </c>
      <c r="P11" s="54" t="s">
        <v>7</v>
      </c>
      <c r="Q11" s="60" t="s">
        <v>9</v>
      </c>
      <c r="R11" s="60" t="s">
        <v>183</v>
      </c>
      <c r="S11" s="60" t="s">
        <v>184</v>
      </c>
      <c r="T11" s="60" t="s">
        <v>185</v>
      </c>
      <c r="U11" s="114"/>
      <c r="V11" s="115"/>
      <c r="W11" s="115"/>
      <c r="X11" s="116"/>
      <c r="Y11" s="118"/>
      <c r="Z11" s="118"/>
      <c r="AA11" s="118"/>
      <c r="AB11" s="118"/>
      <c r="AF11" s="11" t="s">
        <v>52</v>
      </c>
      <c r="AG11" s="38"/>
    </row>
    <row r="12" spans="1:33" s="24" customFormat="1" ht="15" x14ac:dyDescent="0.2">
      <c r="A12" s="54" t="s">
        <v>3</v>
      </c>
      <c r="B12" s="172" t="s">
        <v>13</v>
      </c>
      <c r="C12" s="172"/>
      <c r="D12" s="172"/>
      <c r="E12" s="172"/>
      <c r="F12" s="172"/>
      <c r="G12" s="172"/>
      <c r="H12" s="172"/>
      <c r="I12" s="172"/>
      <c r="J12" s="172"/>
      <c r="K12" s="172"/>
      <c r="L12" s="54">
        <v>36</v>
      </c>
      <c r="M12" s="54">
        <v>38</v>
      </c>
      <c r="N12" s="54">
        <v>40</v>
      </c>
      <c r="O12" s="54">
        <v>42</v>
      </c>
      <c r="P12" s="54" t="s">
        <v>191</v>
      </c>
      <c r="Q12" s="61">
        <v>48</v>
      </c>
      <c r="R12" s="61">
        <v>50</v>
      </c>
      <c r="S12" s="61">
        <v>52</v>
      </c>
      <c r="T12" s="61">
        <v>54</v>
      </c>
      <c r="U12" s="91"/>
      <c r="V12" s="92"/>
      <c r="W12" s="92"/>
      <c r="X12" s="93"/>
      <c r="Y12" s="54"/>
      <c r="Z12" s="54" t="s">
        <v>10</v>
      </c>
      <c r="AA12" s="54" t="s">
        <v>11</v>
      </c>
      <c r="AB12" s="54" t="s">
        <v>4</v>
      </c>
      <c r="AF12" s="11">
        <v>86</v>
      </c>
      <c r="AG12" s="38"/>
    </row>
    <row r="13" spans="1:33" ht="22.5" customHeight="1" x14ac:dyDescent="0.2">
      <c r="A13" s="56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57"/>
      <c r="M13" s="57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9"/>
      <c r="Y13" s="58"/>
      <c r="Z13" s="59">
        <f t="shared" ref="Z13:Z44" si="0">L13+M13+N13+O13+P13+U13+V13+W13+X13+Q13+R13+S13+T13</f>
        <v>0</v>
      </c>
      <c r="AA13" s="32" t="str">
        <f>IFERROR(VLOOKUP(A13,Plan2!$A$1:$F$777,6,0),"-")</f>
        <v>-</v>
      </c>
      <c r="AB13" s="53" t="str">
        <f>IFERROR(AA13*Z13,"-")</f>
        <v>-</v>
      </c>
      <c r="AE13" s="21"/>
      <c r="AF13" s="11" t="s">
        <v>53</v>
      </c>
      <c r="AG13" s="38"/>
    </row>
    <row r="14" spans="1:33" ht="22.5" customHeight="1" x14ac:dyDescent="0.2">
      <c r="A14" s="47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57"/>
      <c r="M14" s="62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  <c r="Y14" s="50"/>
      <c r="Z14" s="51">
        <f t="shared" si="0"/>
        <v>0</v>
      </c>
      <c r="AA14" s="52" t="str">
        <f>IFERROR(VLOOKUP(A14,Plan2!$A$1:$F$777,6,0),"-")</f>
        <v>-</v>
      </c>
      <c r="AB14" s="53" t="str">
        <f>IFERROR(AA14*Z14,"-")</f>
        <v>-</v>
      </c>
      <c r="AF14" s="11">
        <v>87</v>
      </c>
      <c r="AG14" s="38"/>
    </row>
    <row r="15" spans="1:33" ht="22.5" customHeight="1" x14ac:dyDescent="0.2">
      <c r="A15" s="25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57"/>
      <c r="M15" s="63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  <c r="Y15" s="31"/>
      <c r="Z15" s="37">
        <f t="shared" si="0"/>
        <v>0</v>
      </c>
      <c r="AA15" s="32" t="str">
        <f>IFERROR(VLOOKUP(A15,Plan2!$A$1:$F$777,6,0),"-")</f>
        <v>-</v>
      </c>
      <c r="AB15" s="33" t="str">
        <f t="shared" ref="AB15:AB44" si="1">IFERROR(AA15*Z15,"-")</f>
        <v>-</v>
      </c>
      <c r="AF15" s="12" t="s">
        <v>54</v>
      </c>
      <c r="AG15" s="38"/>
    </row>
    <row r="16" spans="1:33" ht="22.5" customHeight="1" x14ac:dyDescent="0.2">
      <c r="A16" s="25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57"/>
      <c r="M16" s="63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31"/>
      <c r="Z16" s="37">
        <f t="shared" si="0"/>
        <v>0</v>
      </c>
      <c r="AA16" s="32" t="str">
        <f>IFERROR(VLOOKUP(A16,Plan2!$A$1:$F$777,6,0),"-")</f>
        <v>-</v>
      </c>
      <c r="AB16" s="33" t="str">
        <f t="shared" si="1"/>
        <v>-</v>
      </c>
      <c r="AF16" s="11">
        <v>88</v>
      </c>
      <c r="AG16" s="38"/>
    </row>
    <row r="17" spans="1:33" ht="22.5" customHeight="1" x14ac:dyDescent="0.2">
      <c r="A17" s="25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57"/>
      <c r="M17" s="63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/>
      <c r="Y17" s="31"/>
      <c r="Z17" s="37">
        <f t="shared" si="0"/>
        <v>0</v>
      </c>
      <c r="AA17" s="32" t="str">
        <f>IFERROR(VLOOKUP(A17,Plan2!$A$1:$F$777,6,0),"-")</f>
        <v>-</v>
      </c>
      <c r="AB17" s="33" t="str">
        <f t="shared" si="1"/>
        <v>-</v>
      </c>
      <c r="AF17" s="11" t="s">
        <v>55</v>
      </c>
      <c r="AG17" s="38"/>
    </row>
    <row r="18" spans="1:33" ht="22.5" customHeight="1" x14ac:dyDescent="0.2">
      <c r="A18" s="25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57"/>
      <c r="M18" s="63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2"/>
      <c r="Y18" s="31"/>
      <c r="Z18" s="37">
        <f t="shared" si="0"/>
        <v>0</v>
      </c>
      <c r="AA18" s="32" t="str">
        <f>IFERROR(VLOOKUP(A18,Plan2!$A$1:$F$777,6,0),"-")</f>
        <v>-</v>
      </c>
      <c r="AB18" s="33" t="str">
        <f t="shared" si="1"/>
        <v>-</v>
      </c>
      <c r="AF18" s="11">
        <v>90</v>
      </c>
      <c r="AG18" s="38"/>
    </row>
    <row r="19" spans="1:33" ht="22.5" customHeight="1" x14ac:dyDescent="0.2">
      <c r="A19" s="25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57"/>
      <c r="M19" s="63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2"/>
      <c r="Y19" s="31"/>
      <c r="Z19" s="37">
        <f t="shared" si="0"/>
        <v>0</v>
      </c>
      <c r="AA19" s="32" t="str">
        <f>IFERROR(VLOOKUP(A19,Plan2!$A$1:$F$777,6,0),"-")</f>
        <v>-</v>
      </c>
      <c r="AB19" s="33" t="str">
        <f t="shared" si="1"/>
        <v>-</v>
      </c>
      <c r="AF19" s="11" t="s">
        <v>56</v>
      </c>
      <c r="AG19" s="38"/>
    </row>
    <row r="20" spans="1:33" ht="22.5" customHeight="1" x14ac:dyDescent="0.2">
      <c r="A20" s="25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57"/>
      <c r="M20" s="63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31"/>
      <c r="Z20" s="37">
        <f t="shared" si="0"/>
        <v>0</v>
      </c>
      <c r="AA20" s="32" t="str">
        <f>IFERROR(VLOOKUP(A20,Plan2!$A$1:$F$777,6,0),"-")</f>
        <v>-</v>
      </c>
      <c r="AB20" s="33" t="str">
        <f t="shared" si="1"/>
        <v>-</v>
      </c>
      <c r="AF20" s="11">
        <v>91</v>
      </c>
      <c r="AG20" s="38"/>
    </row>
    <row r="21" spans="1:33" ht="22.5" customHeight="1" x14ac:dyDescent="0.2">
      <c r="A21" s="25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57"/>
      <c r="M21" s="63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  <c r="Y21" s="31"/>
      <c r="Z21" s="37">
        <f t="shared" si="0"/>
        <v>0</v>
      </c>
      <c r="AA21" s="32" t="str">
        <f>IFERROR(VLOOKUP(A21,Plan2!$A$1:$F$777,6,0),"-")</f>
        <v>-</v>
      </c>
      <c r="AB21" s="33" t="str">
        <f t="shared" si="1"/>
        <v>-</v>
      </c>
      <c r="AF21" s="11" t="s">
        <v>57</v>
      </c>
      <c r="AG21" s="38"/>
    </row>
    <row r="22" spans="1:33" ht="22.5" customHeight="1" x14ac:dyDescent="0.2">
      <c r="A22" s="25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57"/>
      <c r="M22" s="63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2"/>
      <c r="Y22" s="31"/>
      <c r="Z22" s="37">
        <f t="shared" si="0"/>
        <v>0</v>
      </c>
      <c r="AA22" s="32" t="str">
        <f>IFERROR(VLOOKUP(A22,Plan2!$A$1:$F$777,6,0),"-")</f>
        <v>-</v>
      </c>
      <c r="AB22" s="33" t="str">
        <f t="shared" si="1"/>
        <v>-</v>
      </c>
      <c r="AF22" s="11">
        <v>92</v>
      </c>
      <c r="AG22" s="38"/>
    </row>
    <row r="23" spans="1:33" ht="22.5" customHeight="1" x14ac:dyDescent="0.2">
      <c r="A23" s="25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57"/>
      <c r="M23" s="63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2"/>
      <c r="Y23" s="31"/>
      <c r="Z23" s="37">
        <f t="shared" si="0"/>
        <v>0</v>
      </c>
      <c r="AA23" s="32" t="str">
        <f>IFERROR(VLOOKUP(A23,Plan2!$A$1:$F$777,6,0),"-")</f>
        <v>-</v>
      </c>
      <c r="AB23" s="33" t="str">
        <f t="shared" si="1"/>
        <v>-</v>
      </c>
      <c r="AF23" s="11" t="s">
        <v>58</v>
      </c>
      <c r="AG23" s="38"/>
    </row>
    <row r="24" spans="1:33" ht="22.5" customHeight="1" x14ac:dyDescent="0.2">
      <c r="A24" s="25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57"/>
      <c r="M24" s="63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2"/>
      <c r="Y24" s="31"/>
      <c r="Z24" s="37">
        <f t="shared" si="0"/>
        <v>0</v>
      </c>
      <c r="AA24" s="32" t="str">
        <f>IFERROR(VLOOKUP(A24,Plan2!$A$1:$F$777,6,0),"-")</f>
        <v>-</v>
      </c>
      <c r="AB24" s="33" t="str">
        <f t="shared" si="1"/>
        <v>-</v>
      </c>
      <c r="AF24" s="11">
        <v>93</v>
      </c>
      <c r="AG24" s="38"/>
    </row>
    <row r="25" spans="1:33" ht="22.5" customHeight="1" x14ac:dyDescent="0.2">
      <c r="A25" s="25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57"/>
      <c r="M25" s="63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2"/>
      <c r="Y25" s="31"/>
      <c r="Z25" s="37">
        <f t="shared" si="0"/>
        <v>0</v>
      </c>
      <c r="AA25" s="32" t="str">
        <f>IFERROR(VLOOKUP(A25,Plan2!$A$1:$F$777,6,0),"-")</f>
        <v>-</v>
      </c>
      <c r="AB25" s="33" t="str">
        <f t="shared" si="1"/>
        <v>-</v>
      </c>
      <c r="AF25" s="12" t="s">
        <v>59</v>
      </c>
      <c r="AG25" s="38"/>
    </row>
    <row r="26" spans="1:33" ht="22.5" customHeight="1" x14ac:dyDescent="0.2">
      <c r="A26" s="25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57"/>
      <c r="M26" s="63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2"/>
      <c r="Y26" s="31"/>
      <c r="Z26" s="37">
        <f t="shared" si="0"/>
        <v>0</v>
      </c>
      <c r="AA26" s="32" t="str">
        <f>IFERROR(VLOOKUP(A26,Plan2!$A$1:$F$777,6,0),"-")</f>
        <v>-</v>
      </c>
      <c r="AB26" s="33" t="str">
        <f t="shared" si="1"/>
        <v>-</v>
      </c>
      <c r="AF26" s="11">
        <v>94</v>
      </c>
      <c r="AG26" s="38"/>
    </row>
    <row r="27" spans="1:33" ht="22.5" customHeight="1" x14ac:dyDescent="0.2">
      <c r="A27" s="25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57"/>
      <c r="M27" s="63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  <c r="Y27" s="31"/>
      <c r="Z27" s="37">
        <f t="shared" si="0"/>
        <v>0</v>
      </c>
      <c r="AA27" s="32" t="str">
        <f>IFERROR(VLOOKUP(A27,Plan2!$A$1:$F$777,6,0),"-")</f>
        <v>-</v>
      </c>
      <c r="AB27" s="33" t="str">
        <f t="shared" si="1"/>
        <v>-</v>
      </c>
      <c r="AF27" s="11" t="s">
        <v>60</v>
      </c>
      <c r="AG27" s="38"/>
    </row>
    <row r="28" spans="1:33" ht="22.5" customHeight="1" x14ac:dyDescent="0.2">
      <c r="A28" s="25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57"/>
      <c r="M28" s="63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/>
      <c r="Y28" s="31"/>
      <c r="Z28" s="37">
        <f t="shared" si="0"/>
        <v>0</v>
      </c>
      <c r="AA28" s="32" t="str">
        <f>IFERROR(VLOOKUP(A28,Plan2!$A$1:$F$777,6,0),"-")</f>
        <v>-</v>
      </c>
      <c r="AB28" s="33" t="str">
        <f t="shared" si="1"/>
        <v>-</v>
      </c>
      <c r="AF28" s="11">
        <v>95</v>
      </c>
      <c r="AG28" s="38"/>
    </row>
    <row r="29" spans="1:33" ht="22.5" customHeight="1" x14ac:dyDescent="0.2">
      <c r="A29" s="25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57"/>
      <c r="M29" s="63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2"/>
      <c r="Y29" s="31"/>
      <c r="Z29" s="37">
        <f t="shared" si="0"/>
        <v>0</v>
      </c>
      <c r="AA29" s="32" t="str">
        <f>IFERROR(VLOOKUP(A29,Plan2!$A$1:$F$777,6,0),"-")</f>
        <v>-</v>
      </c>
      <c r="AB29" s="33" t="str">
        <f t="shared" si="1"/>
        <v>-</v>
      </c>
      <c r="AF29" s="11" t="s">
        <v>61</v>
      </c>
      <c r="AG29" s="38"/>
    </row>
    <row r="30" spans="1:33" ht="22.5" customHeight="1" x14ac:dyDescent="0.2">
      <c r="A30" s="25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57"/>
      <c r="M30" s="63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2"/>
      <c r="Y30" s="31"/>
      <c r="Z30" s="37">
        <f t="shared" si="0"/>
        <v>0</v>
      </c>
      <c r="AA30" s="32" t="str">
        <f>IFERROR(VLOOKUP(A30,Plan2!$A$1:$F$777,6,0),"-")</f>
        <v>-</v>
      </c>
      <c r="AB30" s="33" t="str">
        <f t="shared" si="1"/>
        <v>-</v>
      </c>
      <c r="AF30" s="11">
        <v>96</v>
      </c>
      <c r="AG30" s="38"/>
    </row>
    <row r="31" spans="1:33" ht="22.5" customHeight="1" x14ac:dyDescent="0.2">
      <c r="A31" s="25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57"/>
      <c r="M31" s="63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2"/>
      <c r="Y31" s="31"/>
      <c r="Z31" s="37">
        <f t="shared" si="0"/>
        <v>0</v>
      </c>
      <c r="AA31" s="32" t="str">
        <f>IFERROR(VLOOKUP(A31,Plan2!$A$1:$F$777,6,0),"-")</f>
        <v>-</v>
      </c>
      <c r="AB31" s="33" t="str">
        <f t="shared" si="1"/>
        <v>-</v>
      </c>
      <c r="AF31" s="12" t="s">
        <v>62</v>
      </c>
      <c r="AG31" s="38"/>
    </row>
    <row r="32" spans="1:33" ht="22.5" customHeight="1" x14ac:dyDescent="0.2">
      <c r="A32" s="25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57"/>
      <c r="M32" s="63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31"/>
      <c r="Z32" s="37">
        <f t="shared" si="0"/>
        <v>0</v>
      </c>
      <c r="AA32" s="32" t="str">
        <f>IFERROR(VLOOKUP(A32,Plan2!$A$1:$F$777,6,0),"-")</f>
        <v>-</v>
      </c>
      <c r="AB32" s="33" t="str">
        <f t="shared" si="1"/>
        <v>-</v>
      </c>
      <c r="AF32" s="12">
        <v>102</v>
      </c>
      <c r="AG32" s="38"/>
    </row>
    <row r="33" spans="1:33" ht="22.5" customHeight="1" x14ac:dyDescent="0.2">
      <c r="A33" s="25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57"/>
      <c r="M33" s="63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/>
      <c r="Y33" s="31"/>
      <c r="Z33" s="37">
        <f t="shared" si="0"/>
        <v>0</v>
      </c>
      <c r="AA33" s="32" t="str">
        <f>IFERROR(VLOOKUP(A33,Plan2!$A$1:$F$777,6,0),"-")</f>
        <v>-</v>
      </c>
      <c r="AB33" s="33" t="str">
        <f t="shared" si="1"/>
        <v>-</v>
      </c>
      <c r="AF33" s="12">
        <v>103</v>
      </c>
      <c r="AG33" s="38"/>
    </row>
    <row r="34" spans="1:33" ht="22.5" customHeight="1" x14ac:dyDescent="0.2">
      <c r="A34" s="25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57"/>
      <c r="M34" s="63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  <c r="Y34" s="31"/>
      <c r="Z34" s="37">
        <f t="shared" si="0"/>
        <v>0</v>
      </c>
      <c r="AA34" s="32" t="str">
        <f>IFERROR(VLOOKUP(A34,Plan2!$A$1:$F$777,6,0),"-")</f>
        <v>-</v>
      </c>
      <c r="AB34" s="33" t="str">
        <f t="shared" si="1"/>
        <v>-</v>
      </c>
      <c r="AF34" s="12">
        <v>104</v>
      </c>
      <c r="AG34" s="38"/>
    </row>
    <row r="35" spans="1:33" ht="22.5" customHeight="1" x14ac:dyDescent="0.2">
      <c r="A35" s="25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57"/>
      <c r="M35" s="63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  <c r="Y35" s="31"/>
      <c r="Z35" s="37">
        <f t="shared" si="0"/>
        <v>0</v>
      </c>
      <c r="AA35" s="32" t="str">
        <f>IFERROR(VLOOKUP(A35,Plan2!$A$1:$F$777,6,0),"-")</f>
        <v>-</v>
      </c>
      <c r="AB35" s="33" t="str">
        <f t="shared" si="1"/>
        <v>-</v>
      </c>
      <c r="AF35" s="12">
        <v>106</v>
      </c>
      <c r="AG35" s="38"/>
    </row>
    <row r="36" spans="1:33" ht="22.5" customHeight="1" x14ac:dyDescent="0.2">
      <c r="A36" s="25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57"/>
      <c r="M36" s="63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2"/>
      <c r="Y36" s="31"/>
      <c r="Z36" s="37">
        <f t="shared" si="0"/>
        <v>0</v>
      </c>
      <c r="AA36" s="32" t="str">
        <f>IFERROR(VLOOKUP(A36,Plan2!$A$1:$F$777,6,0),"-")</f>
        <v>-</v>
      </c>
      <c r="AB36" s="33" t="str">
        <f t="shared" si="1"/>
        <v>-</v>
      </c>
      <c r="AF36" s="12" t="s">
        <v>63</v>
      </c>
      <c r="AG36" s="38"/>
    </row>
    <row r="37" spans="1:33" ht="22.5" customHeight="1" x14ac:dyDescent="0.2">
      <c r="A37" s="25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57"/>
      <c r="M37" s="63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2"/>
      <c r="Y37" s="34"/>
      <c r="Z37" s="37">
        <f t="shared" si="0"/>
        <v>0</v>
      </c>
      <c r="AA37" s="32" t="str">
        <f>IFERROR(VLOOKUP(A37,Plan2!$A$1:$F$777,6,0),"-")</f>
        <v>-</v>
      </c>
      <c r="AB37" s="33" t="str">
        <f t="shared" si="1"/>
        <v>-</v>
      </c>
      <c r="AF37" s="13">
        <v>108</v>
      </c>
      <c r="AG37" s="38" t="s">
        <v>156</v>
      </c>
    </row>
    <row r="38" spans="1:33" ht="22.5" customHeight="1" x14ac:dyDescent="0.2">
      <c r="A38" s="25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57"/>
      <c r="M38" s="63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  <c r="Y38" s="34"/>
      <c r="Z38" s="37">
        <f t="shared" si="0"/>
        <v>0</v>
      </c>
      <c r="AA38" s="32" t="str">
        <f>IFERROR(VLOOKUP(A38,Plan2!$A$1:$F$777,6,0),"-")</f>
        <v>-</v>
      </c>
      <c r="AB38" s="33" t="str">
        <f t="shared" si="1"/>
        <v>-</v>
      </c>
      <c r="AF38" s="12">
        <v>109</v>
      </c>
      <c r="AG38" s="38"/>
    </row>
    <row r="39" spans="1:33" ht="22.5" customHeight="1" x14ac:dyDescent="0.2">
      <c r="A39" s="25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57"/>
      <c r="M39" s="63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/>
      <c r="Y39" s="34"/>
      <c r="Z39" s="37">
        <f t="shared" si="0"/>
        <v>0</v>
      </c>
      <c r="AA39" s="32" t="str">
        <f>IFERROR(VLOOKUP(A39,Plan2!$A$1:$F$777,6,0),"-")</f>
        <v>-</v>
      </c>
      <c r="AB39" s="33" t="str">
        <f t="shared" si="1"/>
        <v>-</v>
      </c>
      <c r="AF39" s="13" t="s">
        <v>64</v>
      </c>
      <c r="AG39" s="38"/>
    </row>
    <row r="40" spans="1:33" ht="22.5" customHeight="1" x14ac:dyDescent="0.2">
      <c r="A40" s="25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57"/>
      <c r="M40" s="63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  <c r="Y40" s="34"/>
      <c r="Z40" s="37">
        <f t="shared" si="0"/>
        <v>0</v>
      </c>
      <c r="AA40" s="32" t="str">
        <f>IFERROR(VLOOKUP(A40,Plan2!$A$1:$F$777,6,0),"-")</f>
        <v>-</v>
      </c>
      <c r="AB40" s="33" t="str">
        <f t="shared" si="1"/>
        <v>-</v>
      </c>
      <c r="AF40" s="12">
        <v>110</v>
      </c>
      <c r="AG40" s="38"/>
    </row>
    <row r="41" spans="1:33" ht="22.5" customHeight="1" x14ac:dyDescent="0.2">
      <c r="A41" s="25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57"/>
      <c r="M41" s="63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  <c r="Y41" s="34"/>
      <c r="Z41" s="37">
        <f t="shared" si="0"/>
        <v>0</v>
      </c>
      <c r="AA41" s="32" t="str">
        <f>IFERROR(VLOOKUP(A41,Plan2!$A$1:$F$777,6,0),"-")</f>
        <v>-</v>
      </c>
      <c r="AB41" s="33" t="str">
        <f t="shared" si="1"/>
        <v>-</v>
      </c>
      <c r="AF41" s="12" t="s">
        <v>65</v>
      </c>
      <c r="AG41" s="38"/>
    </row>
    <row r="42" spans="1:33" ht="22.5" customHeight="1" x14ac:dyDescent="0.2">
      <c r="A42" s="25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57"/>
      <c r="M42" s="63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34"/>
      <c r="Z42" s="37">
        <f t="shared" si="0"/>
        <v>0</v>
      </c>
      <c r="AA42" s="32" t="str">
        <f>IFERROR(VLOOKUP(A42,Plan2!$A$1:$F$777,6,0),"-")</f>
        <v>-</v>
      </c>
      <c r="AB42" s="33" t="str">
        <f t="shared" si="1"/>
        <v>-</v>
      </c>
      <c r="AF42" s="12">
        <v>111</v>
      </c>
      <c r="AG42" s="38"/>
    </row>
    <row r="43" spans="1:33" ht="22.5" customHeight="1" x14ac:dyDescent="0.2">
      <c r="A43" s="25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57"/>
      <c r="M43" s="63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  <c r="Y43" s="34"/>
      <c r="Z43" s="37">
        <f t="shared" si="0"/>
        <v>0</v>
      </c>
      <c r="AA43" s="32" t="str">
        <f>IFERROR(VLOOKUP(A43,Plan2!$A$1:$F$777,6,0),"-")</f>
        <v>-</v>
      </c>
      <c r="AB43" s="33" t="str">
        <f t="shared" si="1"/>
        <v>-</v>
      </c>
      <c r="AF43" s="12" t="s">
        <v>66</v>
      </c>
      <c r="AG43" s="38"/>
    </row>
    <row r="44" spans="1:33" ht="22.5" customHeight="1" thickBot="1" x14ac:dyDescent="0.25">
      <c r="A44" s="65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64"/>
      <c r="M44" s="63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  <c r="Y44" s="34"/>
      <c r="Z44" s="66">
        <f t="shared" si="0"/>
        <v>0</v>
      </c>
      <c r="AA44" s="67" t="str">
        <f>IFERROR(VLOOKUP(A44,Plan2!$A$1:$F$777,6,0),"-")</f>
        <v>-</v>
      </c>
      <c r="AB44" s="68" t="str">
        <f t="shared" si="1"/>
        <v>-</v>
      </c>
      <c r="AF44" s="12">
        <v>112</v>
      </c>
      <c r="AG44" s="38"/>
    </row>
    <row r="45" spans="1:33" ht="15.75" thickBot="1" x14ac:dyDescent="0.25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2"/>
      <c r="N45" s="132"/>
      <c r="O45" s="132"/>
      <c r="P45" s="132"/>
      <c r="Q45" s="132"/>
      <c r="R45" s="132"/>
      <c r="S45" s="132"/>
      <c r="T45" s="132"/>
      <c r="U45" s="132"/>
      <c r="V45" s="133"/>
      <c r="W45" s="142" t="s">
        <v>12</v>
      </c>
      <c r="X45" s="143"/>
      <c r="Y45" s="35"/>
      <c r="Z45" s="36">
        <f>SUM(Z13:Z44)</f>
        <v>0</v>
      </c>
      <c r="AA45" s="69" t="s">
        <v>153</v>
      </c>
      <c r="AB45" s="70">
        <f>SUM(AB13:AB44)</f>
        <v>0</v>
      </c>
      <c r="AC45" s="26"/>
      <c r="AF45" s="12">
        <v>125</v>
      </c>
      <c r="AG45" s="38"/>
    </row>
    <row r="46" spans="1:33" ht="21" customHeight="1" thickBot="1" x14ac:dyDescent="0.25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4"/>
      <c r="W46" s="144"/>
      <c r="X46" s="145"/>
      <c r="Y46" s="145"/>
      <c r="Z46" s="145"/>
      <c r="AA46" s="74" t="s">
        <v>154</v>
      </c>
      <c r="AB46" s="73"/>
      <c r="AC46" s="71"/>
      <c r="AF46" s="12" t="s">
        <v>70</v>
      </c>
      <c r="AG46" s="38"/>
    </row>
    <row r="47" spans="1:33" ht="18.75" customHeight="1" thickBot="1" x14ac:dyDescent="0.25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4"/>
      <c r="W47" s="146"/>
      <c r="X47" s="147"/>
      <c r="Y47" s="147"/>
      <c r="Z47" s="147"/>
      <c r="AA47" s="75" t="s">
        <v>155</v>
      </c>
      <c r="AB47" s="72">
        <f>AB45*AB46</f>
        <v>0</v>
      </c>
      <c r="AC47" s="71"/>
      <c r="AF47" s="12">
        <v>126</v>
      </c>
      <c r="AG47" s="38"/>
    </row>
    <row r="48" spans="1:33" ht="15" x14ac:dyDescent="0.2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4"/>
      <c r="W48" s="146"/>
      <c r="X48" s="147"/>
      <c r="Y48" s="147"/>
      <c r="Z48" s="148"/>
      <c r="AA48" s="140" t="s">
        <v>4</v>
      </c>
      <c r="AB48" s="138">
        <f>AB45-AB47</f>
        <v>0</v>
      </c>
      <c r="AC48" s="26"/>
      <c r="AF48" s="12" t="s">
        <v>71</v>
      </c>
      <c r="AG48" s="38"/>
    </row>
    <row r="49" spans="1:33" ht="23.25" customHeight="1" thickBot="1" x14ac:dyDescent="0.25">
      <c r="A49" s="135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7"/>
      <c r="W49" s="149"/>
      <c r="X49" s="150"/>
      <c r="Y49" s="150"/>
      <c r="Z49" s="151"/>
      <c r="AA49" s="141"/>
      <c r="AB49" s="139"/>
      <c r="AC49" s="26"/>
      <c r="AF49" s="11">
        <v>128</v>
      </c>
      <c r="AG49" s="38"/>
    </row>
    <row r="50" spans="1:33" ht="15.75" thickBot="1" x14ac:dyDescent="0.25">
      <c r="A50" s="125" t="s">
        <v>14</v>
      </c>
      <c r="B50" s="126"/>
      <c r="C50" s="126"/>
      <c r="D50" s="127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9"/>
      <c r="AE50" s="27"/>
      <c r="AF50" s="12" t="s">
        <v>72</v>
      </c>
      <c r="AG50" s="38"/>
    </row>
    <row r="51" spans="1:33" ht="15" x14ac:dyDescent="0.2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AF51" s="11">
        <v>129</v>
      </c>
      <c r="AG51" s="38"/>
    </row>
    <row r="52" spans="1:33" ht="15" x14ac:dyDescent="0.2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AF52" s="11" t="s">
        <v>73</v>
      </c>
      <c r="AG52" s="38"/>
    </row>
    <row r="53" spans="1:33" ht="15" x14ac:dyDescent="0.2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AF53" s="11">
        <v>130</v>
      </c>
      <c r="AG53" s="38"/>
    </row>
    <row r="54" spans="1:33" ht="15" x14ac:dyDescent="0.2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AF54" s="13" t="s">
        <v>74</v>
      </c>
      <c r="AG54" s="38"/>
    </row>
    <row r="55" spans="1:33" ht="15" x14ac:dyDescent="0.2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AF55" s="11">
        <v>131</v>
      </c>
      <c r="AG55" s="38"/>
    </row>
    <row r="56" spans="1:33" ht="15" x14ac:dyDescent="0.2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AF56" s="13" t="s">
        <v>75</v>
      </c>
      <c r="AG56" s="38"/>
    </row>
    <row r="57" spans="1:33" ht="15" x14ac:dyDescent="0.2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AF57" s="12">
        <v>135</v>
      </c>
      <c r="AG57" s="38"/>
    </row>
    <row r="58" spans="1:33" ht="15" x14ac:dyDescent="0.2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AF58" s="12" t="s">
        <v>76</v>
      </c>
      <c r="AG58" s="38"/>
    </row>
    <row r="59" spans="1:33" ht="15" x14ac:dyDescent="0.2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AF59" s="12">
        <v>139</v>
      </c>
      <c r="AG59" s="38"/>
    </row>
    <row r="60" spans="1:33" ht="15" x14ac:dyDescent="0.2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AF60" s="11">
        <v>140</v>
      </c>
      <c r="AG60" s="38"/>
    </row>
    <row r="61" spans="1:33" ht="15" x14ac:dyDescent="0.2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AF61" s="11" t="s">
        <v>77</v>
      </c>
      <c r="AG61" s="38"/>
    </row>
    <row r="62" spans="1:33" ht="15" x14ac:dyDescent="0.2">
      <c r="AF62" s="11">
        <v>141</v>
      </c>
      <c r="AG62" s="38"/>
    </row>
    <row r="63" spans="1:33" ht="15" x14ac:dyDescent="0.2">
      <c r="AF63" s="11">
        <v>142</v>
      </c>
      <c r="AG63" s="38"/>
    </row>
    <row r="64" spans="1:33" ht="15" x14ac:dyDescent="0.2">
      <c r="AF64" s="12">
        <v>143</v>
      </c>
      <c r="AG64" s="38"/>
    </row>
    <row r="65" spans="32:33" ht="15" x14ac:dyDescent="0.2">
      <c r="AF65" s="12">
        <v>145</v>
      </c>
      <c r="AG65" s="38"/>
    </row>
    <row r="66" spans="32:33" ht="15" x14ac:dyDescent="0.2">
      <c r="AF66" s="12" t="s">
        <v>78</v>
      </c>
      <c r="AG66" s="38"/>
    </row>
    <row r="67" spans="32:33" ht="15" x14ac:dyDescent="0.2">
      <c r="AF67" s="11">
        <v>150</v>
      </c>
      <c r="AG67" s="38"/>
    </row>
    <row r="68" spans="32:33" ht="15" x14ac:dyDescent="0.2">
      <c r="AF68" s="12">
        <v>159</v>
      </c>
      <c r="AG68" s="38"/>
    </row>
    <row r="69" spans="32:33" ht="15" x14ac:dyDescent="0.2">
      <c r="AF69" s="12" t="s">
        <v>79</v>
      </c>
      <c r="AG69" s="38"/>
    </row>
    <row r="70" spans="32:33" ht="15" x14ac:dyDescent="0.2">
      <c r="AF70" s="12">
        <v>160</v>
      </c>
      <c r="AG70" s="38"/>
    </row>
    <row r="71" spans="32:33" ht="15" x14ac:dyDescent="0.2">
      <c r="AF71" s="11" t="s">
        <v>80</v>
      </c>
      <c r="AG71" s="38"/>
    </row>
    <row r="72" spans="32:33" ht="15" x14ac:dyDescent="0.2">
      <c r="AF72" s="11">
        <v>161</v>
      </c>
      <c r="AG72" s="38"/>
    </row>
    <row r="73" spans="32:33" ht="15" x14ac:dyDescent="0.2">
      <c r="AF73" s="11" t="s">
        <v>81</v>
      </c>
      <c r="AG73" s="38"/>
    </row>
    <row r="74" spans="32:33" ht="15" x14ac:dyDescent="0.2">
      <c r="AF74" s="11">
        <v>162</v>
      </c>
      <c r="AG74" s="38"/>
    </row>
    <row r="75" spans="32:33" ht="15" x14ac:dyDescent="0.2">
      <c r="AF75" s="11">
        <v>163</v>
      </c>
      <c r="AG75" s="38"/>
    </row>
    <row r="76" spans="32:33" ht="15" x14ac:dyDescent="0.2">
      <c r="AF76" s="11">
        <v>171</v>
      </c>
      <c r="AG76" s="38"/>
    </row>
    <row r="77" spans="32:33" ht="15" x14ac:dyDescent="0.2">
      <c r="AF77" s="11" t="s">
        <v>82</v>
      </c>
      <c r="AG77" s="38"/>
    </row>
    <row r="78" spans="32:33" ht="15" x14ac:dyDescent="0.2">
      <c r="AF78" s="11">
        <v>172</v>
      </c>
      <c r="AG78" s="38"/>
    </row>
    <row r="79" spans="32:33" ht="15" x14ac:dyDescent="0.2">
      <c r="AF79" s="11" t="s">
        <v>83</v>
      </c>
      <c r="AG79" s="38"/>
    </row>
    <row r="80" spans="32:33" ht="15" x14ac:dyDescent="0.2">
      <c r="AF80" s="11">
        <v>179</v>
      </c>
      <c r="AG80" s="38"/>
    </row>
    <row r="81" spans="32:33" ht="15" x14ac:dyDescent="0.2">
      <c r="AF81" s="11">
        <v>180</v>
      </c>
      <c r="AG81" s="38"/>
    </row>
    <row r="82" spans="32:33" ht="15" x14ac:dyDescent="0.2">
      <c r="AF82" s="11" t="s">
        <v>84</v>
      </c>
      <c r="AG82" s="38"/>
    </row>
    <row r="83" spans="32:33" ht="15" x14ac:dyDescent="0.2">
      <c r="AF83" s="11">
        <v>199</v>
      </c>
      <c r="AG83" s="38"/>
    </row>
    <row r="84" spans="32:33" ht="15" x14ac:dyDescent="0.2">
      <c r="AF84" s="11" t="s">
        <v>85</v>
      </c>
      <c r="AG84" s="38"/>
    </row>
    <row r="85" spans="32:33" ht="15" x14ac:dyDescent="0.2">
      <c r="AF85" s="11">
        <v>200</v>
      </c>
      <c r="AG85" s="38"/>
    </row>
    <row r="86" spans="32:33" ht="15" x14ac:dyDescent="0.2">
      <c r="AF86" s="11" t="s">
        <v>86</v>
      </c>
      <c r="AG86" s="38"/>
    </row>
    <row r="87" spans="32:33" ht="15" x14ac:dyDescent="0.2">
      <c r="AF87" s="11">
        <v>201</v>
      </c>
      <c r="AG87" s="38"/>
    </row>
    <row r="88" spans="32:33" ht="15" x14ac:dyDescent="0.2">
      <c r="AF88" s="11">
        <v>202</v>
      </c>
      <c r="AG88" s="38"/>
    </row>
    <row r="89" spans="32:33" ht="15" x14ac:dyDescent="0.2">
      <c r="AF89" s="11">
        <v>203</v>
      </c>
      <c r="AG89" s="38"/>
    </row>
    <row r="90" spans="32:33" ht="15" x14ac:dyDescent="0.2">
      <c r="AF90" s="11">
        <v>204</v>
      </c>
      <c r="AG90" s="38"/>
    </row>
    <row r="91" spans="32:33" ht="15" x14ac:dyDescent="0.2">
      <c r="AF91" s="14">
        <v>206</v>
      </c>
      <c r="AG91" s="38" t="s">
        <v>156</v>
      </c>
    </row>
    <row r="92" spans="32:33" ht="15" x14ac:dyDescent="0.2">
      <c r="AF92" s="11">
        <v>216</v>
      </c>
      <c r="AG92" s="38"/>
    </row>
    <row r="93" spans="32:33" ht="15" x14ac:dyDescent="0.2">
      <c r="AF93" s="12" t="s">
        <v>87</v>
      </c>
      <c r="AG93" s="38"/>
    </row>
    <row r="94" spans="32:33" ht="15" x14ac:dyDescent="0.2">
      <c r="AF94" s="11">
        <v>219</v>
      </c>
      <c r="AG94" s="38" t="s">
        <v>156</v>
      </c>
    </row>
    <row r="95" spans="32:33" ht="15" x14ac:dyDescent="0.2">
      <c r="AF95" s="11">
        <v>239</v>
      </c>
      <c r="AG95" s="38"/>
    </row>
    <row r="96" spans="32:33" ht="15" x14ac:dyDescent="0.2">
      <c r="AF96" s="11">
        <v>240</v>
      </c>
      <c r="AG96" s="38"/>
    </row>
    <row r="97" spans="32:33" ht="15" x14ac:dyDescent="0.2">
      <c r="AF97" s="11" t="s">
        <v>88</v>
      </c>
      <c r="AG97" s="38"/>
    </row>
    <row r="98" spans="32:33" ht="15" x14ac:dyDescent="0.2">
      <c r="AF98" s="11">
        <v>242</v>
      </c>
      <c r="AG98" s="38"/>
    </row>
    <row r="99" spans="32:33" ht="15" x14ac:dyDescent="0.2">
      <c r="AF99" s="12">
        <v>245</v>
      </c>
      <c r="AG99" s="38"/>
    </row>
    <row r="100" spans="32:33" ht="15" x14ac:dyDescent="0.2">
      <c r="AF100" s="11" t="s">
        <v>89</v>
      </c>
      <c r="AG100" s="38"/>
    </row>
    <row r="101" spans="32:33" ht="15" x14ac:dyDescent="0.2">
      <c r="AF101" s="11">
        <v>250</v>
      </c>
      <c r="AG101" s="38"/>
    </row>
    <row r="102" spans="32:33" ht="15" x14ac:dyDescent="0.2">
      <c r="AF102" s="11">
        <v>300</v>
      </c>
      <c r="AG102" s="38"/>
    </row>
    <row r="103" spans="32:33" ht="15" x14ac:dyDescent="0.2">
      <c r="AF103" s="11">
        <v>302</v>
      </c>
      <c r="AG103" s="38" t="s">
        <v>156</v>
      </c>
    </row>
    <row r="104" spans="32:33" ht="15" x14ac:dyDescent="0.2">
      <c r="AF104" s="11">
        <v>302</v>
      </c>
      <c r="AG104" s="38" t="s">
        <v>156</v>
      </c>
    </row>
    <row r="105" spans="32:33" ht="15" x14ac:dyDescent="0.2">
      <c r="AF105" s="11">
        <v>303</v>
      </c>
      <c r="AG105" s="38"/>
    </row>
    <row r="106" spans="32:33" ht="15" x14ac:dyDescent="0.2">
      <c r="AF106" s="11">
        <v>310</v>
      </c>
      <c r="AG106" s="38"/>
    </row>
    <row r="107" spans="32:33" ht="15" x14ac:dyDescent="0.2">
      <c r="AF107" s="11" t="s">
        <v>90</v>
      </c>
      <c r="AG107" s="38"/>
    </row>
    <row r="108" spans="32:33" ht="15" x14ac:dyDescent="0.2">
      <c r="AF108" s="12">
        <v>316</v>
      </c>
      <c r="AG108" s="38"/>
    </row>
    <row r="109" spans="32:33" ht="15" x14ac:dyDescent="0.2">
      <c r="AF109" s="12" t="s">
        <v>91</v>
      </c>
      <c r="AG109" s="38"/>
    </row>
    <row r="110" spans="32:33" ht="15" x14ac:dyDescent="0.2">
      <c r="AF110" s="12">
        <v>320</v>
      </c>
      <c r="AG110" s="38" t="s">
        <v>156</v>
      </c>
    </row>
    <row r="111" spans="32:33" ht="15" x14ac:dyDescent="0.2">
      <c r="AF111" s="12" t="s">
        <v>92</v>
      </c>
      <c r="AG111" s="38" t="s">
        <v>156</v>
      </c>
    </row>
    <row r="112" spans="32:33" ht="15" x14ac:dyDescent="0.2">
      <c r="AF112" s="12">
        <v>321</v>
      </c>
      <c r="AG112" s="38"/>
    </row>
    <row r="113" spans="32:33" ht="15" x14ac:dyDescent="0.2">
      <c r="AF113" s="11" t="s">
        <v>93</v>
      </c>
      <c r="AG113" s="38"/>
    </row>
    <row r="114" spans="32:33" ht="15" x14ac:dyDescent="0.2">
      <c r="AF114" s="11">
        <v>325</v>
      </c>
      <c r="AG114" s="38"/>
    </row>
    <row r="115" spans="32:33" ht="15" x14ac:dyDescent="0.2">
      <c r="AF115" s="11" t="s">
        <v>94</v>
      </c>
      <c r="AG115" s="38"/>
    </row>
    <row r="116" spans="32:33" ht="15" x14ac:dyDescent="0.2">
      <c r="AF116" s="11">
        <v>327</v>
      </c>
      <c r="AG116" s="38"/>
    </row>
    <row r="117" spans="32:33" ht="15" x14ac:dyDescent="0.2">
      <c r="AF117" s="12" t="s">
        <v>95</v>
      </c>
      <c r="AG117" s="38"/>
    </row>
    <row r="118" spans="32:33" ht="15" x14ac:dyDescent="0.2">
      <c r="AF118" s="12">
        <v>328</v>
      </c>
      <c r="AG118" s="38"/>
    </row>
    <row r="119" spans="32:33" ht="15" x14ac:dyDescent="0.2">
      <c r="AF119" s="12" t="s">
        <v>96</v>
      </c>
      <c r="AG119" s="38"/>
    </row>
    <row r="120" spans="32:33" ht="15" x14ac:dyDescent="0.2">
      <c r="AF120" s="12">
        <v>329</v>
      </c>
      <c r="AG120" s="38"/>
    </row>
    <row r="121" spans="32:33" ht="15" x14ac:dyDescent="0.2">
      <c r="AF121" s="12" t="s">
        <v>97</v>
      </c>
      <c r="AG121" s="38"/>
    </row>
    <row r="122" spans="32:33" ht="15" x14ac:dyDescent="0.2">
      <c r="AF122" s="12">
        <v>330</v>
      </c>
      <c r="AG122" s="38"/>
    </row>
    <row r="123" spans="32:33" ht="15" x14ac:dyDescent="0.2">
      <c r="AF123" s="12" t="s">
        <v>98</v>
      </c>
      <c r="AG123" s="38"/>
    </row>
    <row r="124" spans="32:33" ht="15" x14ac:dyDescent="0.2">
      <c r="AF124" s="12">
        <v>350</v>
      </c>
      <c r="AG124" s="38"/>
    </row>
    <row r="125" spans="32:33" ht="15" x14ac:dyDescent="0.2">
      <c r="AF125" s="11" t="s">
        <v>99</v>
      </c>
      <c r="AG125" s="38"/>
    </row>
    <row r="126" spans="32:33" ht="15" x14ac:dyDescent="0.2">
      <c r="AF126" s="11">
        <v>360</v>
      </c>
      <c r="AG126" s="38"/>
    </row>
    <row r="127" spans="32:33" ht="15" x14ac:dyDescent="0.2">
      <c r="AF127" s="12" t="s">
        <v>100</v>
      </c>
      <c r="AG127" s="38"/>
    </row>
    <row r="128" spans="32:33" ht="15" x14ac:dyDescent="0.2">
      <c r="AF128" s="12">
        <v>380</v>
      </c>
      <c r="AG128" s="38"/>
    </row>
    <row r="129" spans="32:33" ht="15" x14ac:dyDescent="0.2">
      <c r="AF129" s="12" t="s">
        <v>101</v>
      </c>
      <c r="AG129" s="38"/>
    </row>
    <row r="130" spans="32:33" ht="15" x14ac:dyDescent="0.2">
      <c r="AF130" s="12">
        <v>390</v>
      </c>
      <c r="AG130" s="38"/>
    </row>
    <row r="131" spans="32:33" ht="15" x14ac:dyDescent="0.2">
      <c r="AF131" s="12" t="s">
        <v>102</v>
      </c>
      <c r="AG131" s="38"/>
    </row>
    <row r="132" spans="32:33" ht="15" x14ac:dyDescent="0.2">
      <c r="AF132" s="12">
        <v>395</v>
      </c>
      <c r="AG132" s="38"/>
    </row>
    <row r="133" spans="32:33" ht="15" x14ac:dyDescent="0.2">
      <c r="AF133" s="12" t="s">
        <v>103</v>
      </c>
      <c r="AG133" s="38"/>
    </row>
    <row r="134" spans="32:33" ht="15" x14ac:dyDescent="0.2">
      <c r="AF134" s="11">
        <v>400</v>
      </c>
      <c r="AG134" s="38"/>
    </row>
    <row r="135" spans="32:33" ht="15" x14ac:dyDescent="0.2">
      <c r="AF135" s="11" t="s">
        <v>104</v>
      </c>
      <c r="AG135" s="38"/>
    </row>
    <row r="136" spans="32:33" ht="15" x14ac:dyDescent="0.2">
      <c r="AF136" s="12">
        <v>401</v>
      </c>
      <c r="AG136" s="38"/>
    </row>
    <row r="137" spans="32:33" ht="15" x14ac:dyDescent="0.2">
      <c r="AF137" s="11">
        <v>405</v>
      </c>
      <c r="AG137" s="38"/>
    </row>
    <row r="138" spans="32:33" ht="15" x14ac:dyDescent="0.2">
      <c r="AF138" s="11" t="s">
        <v>105</v>
      </c>
      <c r="AG138" s="38"/>
    </row>
    <row r="139" spans="32:33" ht="15" x14ac:dyDescent="0.2">
      <c r="AF139" s="11">
        <v>411</v>
      </c>
      <c r="AG139" s="38"/>
    </row>
    <row r="140" spans="32:33" ht="15" x14ac:dyDescent="0.2">
      <c r="AF140" s="11">
        <v>429</v>
      </c>
      <c r="AG140" s="38"/>
    </row>
    <row r="141" spans="32:33" ht="15" x14ac:dyDescent="0.2">
      <c r="AF141" s="11" t="s">
        <v>106</v>
      </c>
      <c r="AG141" s="38"/>
    </row>
    <row r="142" spans="32:33" ht="15" x14ac:dyDescent="0.2">
      <c r="AF142" s="11">
        <v>430</v>
      </c>
      <c r="AG142" s="38"/>
    </row>
    <row r="143" spans="32:33" ht="15" x14ac:dyDescent="0.2">
      <c r="AF143" s="11" t="s">
        <v>107</v>
      </c>
      <c r="AG143" s="38"/>
    </row>
    <row r="144" spans="32:33" ht="15" x14ac:dyDescent="0.2">
      <c r="AF144" s="12">
        <v>450</v>
      </c>
      <c r="AG144" s="38" t="s">
        <v>156</v>
      </c>
    </row>
    <row r="145" spans="32:33" ht="15" x14ac:dyDescent="0.2">
      <c r="AF145" s="11" t="s">
        <v>108</v>
      </c>
      <c r="AG145" s="38" t="s">
        <v>156</v>
      </c>
    </row>
    <row r="146" spans="32:33" ht="15" x14ac:dyDescent="0.2">
      <c r="AF146" s="11">
        <v>499</v>
      </c>
      <c r="AG146" s="38"/>
    </row>
    <row r="147" spans="32:33" ht="15" x14ac:dyDescent="0.2">
      <c r="AF147" s="11" t="s">
        <v>109</v>
      </c>
      <c r="AG147" s="38"/>
    </row>
    <row r="148" spans="32:33" ht="15" x14ac:dyDescent="0.2">
      <c r="AF148" s="11">
        <v>500</v>
      </c>
      <c r="AG148" s="38"/>
    </row>
    <row r="149" spans="32:33" ht="15" x14ac:dyDescent="0.2">
      <c r="AF149" s="12" t="s">
        <v>110</v>
      </c>
      <c r="AG149" s="38"/>
    </row>
    <row r="150" spans="32:33" ht="15" x14ac:dyDescent="0.2">
      <c r="AF150" s="11">
        <v>501</v>
      </c>
      <c r="AG150" s="38"/>
    </row>
    <row r="151" spans="32:33" ht="15" x14ac:dyDescent="0.2">
      <c r="AF151" s="11">
        <v>501</v>
      </c>
      <c r="AG151" s="38"/>
    </row>
    <row r="152" spans="32:33" ht="15" x14ac:dyDescent="0.2">
      <c r="AF152" s="11">
        <v>502</v>
      </c>
      <c r="AG152" s="38"/>
    </row>
    <row r="153" spans="32:33" ht="15" x14ac:dyDescent="0.2">
      <c r="AF153" s="11" t="s">
        <v>111</v>
      </c>
      <c r="AG153" s="38"/>
    </row>
    <row r="154" spans="32:33" ht="15" x14ac:dyDescent="0.2">
      <c r="AF154" s="11">
        <v>550</v>
      </c>
      <c r="AG154" s="38"/>
    </row>
    <row r="155" spans="32:33" ht="15" x14ac:dyDescent="0.2">
      <c r="AF155" s="11" t="s">
        <v>112</v>
      </c>
      <c r="AG155" s="38"/>
    </row>
    <row r="156" spans="32:33" ht="15" x14ac:dyDescent="0.2">
      <c r="AF156" s="12">
        <v>570</v>
      </c>
      <c r="AG156" s="38"/>
    </row>
    <row r="157" spans="32:33" ht="15" x14ac:dyDescent="0.2">
      <c r="AF157" s="12" t="s">
        <v>113</v>
      </c>
      <c r="AG157" s="38"/>
    </row>
    <row r="158" spans="32:33" ht="15" x14ac:dyDescent="0.2">
      <c r="AF158" s="12">
        <v>580</v>
      </c>
      <c r="AG158" s="38" t="s">
        <v>156</v>
      </c>
    </row>
    <row r="159" spans="32:33" ht="15" x14ac:dyDescent="0.2">
      <c r="AF159" s="12" t="s">
        <v>114</v>
      </c>
      <c r="AG159" s="38" t="s">
        <v>156</v>
      </c>
    </row>
    <row r="160" spans="32:33" ht="15" x14ac:dyDescent="0.2">
      <c r="AF160" s="11">
        <v>581</v>
      </c>
      <c r="AG160" s="38"/>
    </row>
    <row r="161" spans="32:33" ht="15" x14ac:dyDescent="0.2">
      <c r="AF161" s="11" t="s">
        <v>115</v>
      </c>
      <c r="AG161" s="38"/>
    </row>
    <row r="162" spans="32:33" ht="15" x14ac:dyDescent="0.2">
      <c r="AF162" s="11">
        <v>582</v>
      </c>
      <c r="AG162" s="38"/>
    </row>
    <row r="163" spans="32:33" ht="15" x14ac:dyDescent="0.2">
      <c r="AF163" s="11" t="s">
        <v>116</v>
      </c>
      <c r="AG163" s="38"/>
    </row>
    <row r="164" spans="32:33" ht="15" x14ac:dyDescent="0.2">
      <c r="AF164" s="12">
        <v>590</v>
      </c>
      <c r="AG164" s="38"/>
    </row>
    <row r="165" spans="32:33" ht="15" x14ac:dyDescent="0.2">
      <c r="AF165" s="11" t="s">
        <v>117</v>
      </c>
      <c r="AG165" s="38"/>
    </row>
    <row r="166" spans="32:33" ht="15" x14ac:dyDescent="0.2">
      <c r="AF166" s="12">
        <v>595</v>
      </c>
      <c r="AG166" s="38"/>
    </row>
    <row r="167" spans="32:33" ht="15" x14ac:dyDescent="0.2">
      <c r="AF167" s="11" t="s">
        <v>118</v>
      </c>
      <c r="AG167" s="38"/>
    </row>
    <row r="168" spans="32:33" ht="15" x14ac:dyDescent="0.2">
      <c r="AF168" s="11">
        <v>600</v>
      </c>
      <c r="AG168" s="38"/>
    </row>
    <row r="169" spans="32:33" ht="15" x14ac:dyDescent="0.2">
      <c r="AF169" s="11" t="s">
        <v>119</v>
      </c>
      <c r="AG169" s="38"/>
    </row>
    <row r="170" spans="32:33" ht="15" x14ac:dyDescent="0.2">
      <c r="AF170" s="11">
        <v>601</v>
      </c>
      <c r="AG170" s="38"/>
    </row>
    <row r="171" spans="32:33" ht="15" x14ac:dyDescent="0.2">
      <c r="AF171" s="11" t="s">
        <v>120</v>
      </c>
      <c r="AG171" s="38"/>
    </row>
    <row r="172" spans="32:33" ht="15" x14ac:dyDescent="0.2">
      <c r="AF172" s="11">
        <v>605</v>
      </c>
      <c r="AG172" s="38"/>
    </row>
    <row r="173" spans="32:33" ht="15" x14ac:dyDescent="0.2">
      <c r="AF173" s="11" t="s">
        <v>121</v>
      </c>
      <c r="AG173" s="38"/>
    </row>
    <row r="174" spans="32:33" ht="15" x14ac:dyDescent="0.2">
      <c r="AF174" s="11">
        <v>640</v>
      </c>
      <c r="AG174" s="38"/>
    </row>
    <row r="175" spans="32:33" ht="15" x14ac:dyDescent="0.2">
      <c r="AF175" s="11" t="s">
        <v>122</v>
      </c>
      <c r="AG175" s="38"/>
    </row>
    <row r="176" spans="32:33" ht="15" x14ac:dyDescent="0.2">
      <c r="AF176" s="11">
        <v>650</v>
      </c>
      <c r="AG176" s="38"/>
    </row>
    <row r="177" spans="32:33" ht="15" x14ac:dyDescent="0.2">
      <c r="AF177" s="11" t="s">
        <v>123</v>
      </c>
      <c r="AG177" s="38"/>
    </row>
    <row r="178" spans="32:33" ht="15" x14ac:dyDescent="0.2">
      <c r="AF178" s="11">
        <v>690</v>
      </c>
      <c r="AG178" s="38"/>
    </row>
    <row r="179" spans="32:33" ht="15" x14ac:dyDescent="0.2">
      <c r="AF179" s="11" t="s">
        <v>124</v>
      </c>
      <c r="AG179" s="38"/>
    </row>
    <row r="180" spans="32:33" ht="15" x14ac:dyDescent="0.2">
      <c r="AF180" s="11">
        <v>700</v>
      </c>
      <c r="AG180" s="38" t="s">
        <v>156</v>
      </c>
    </row>
    <row r="181" spans="32:33" ht="15" x14ac:dyDescent="0.2">
      <c r="AF181" s="11">
        <v>701</v>
      </c>
      <c r="AG181" s="38" t="s">
        <v>156</v>
      </c>
    </row>
    <row r="182" spans="32:33" ht="15" x14ac:dyDescent="0.2">
      <c r="AF182" s="11">
        <v>710</v>
      </c>
      <c r="AG182" s="38"/>
    </row>
    <row r="183" spans="32:33" ht="15" x14ac:dyDescent="0.2">
      <c r="AF183" s="11" t="s">
        <v>125</v>
      </c>
      <c r="AG183" s="38"/>
    </row>
    <row r="184" spans="32:33" ht="15" x14ac:dyDescent="0.2">
      <c r="AF184" s="11">
        <v>711</v>
      </c>
      <c r="AG184" s="38"/>
    </row>
    <row r="185" spans="32:33" ht="15" x14ac:dyDescent="0.2">
      <c r="AF185" s="11" t="s">
        <v>126</v>
      </c>
      <c r="AG185" s="38"/>
    </row>
    <row r="186" spans="32:33" ht="15" x14ac:dyDescent="0.2">
      <c r="AF186" s="11">
        <v>720</v>
      </c>
      <c r="AG186" s="38"/>
    </row>
    <row r="187" spans="32:33" ht="15" x14ac:dyDescent="0.2">
      <c r="AF187" s="12" t="s">
        <v>127</v>
      </c>
      <c r="AG187" s="38"/>
    </row>
    <row r="188" spans="32:33" ht="15" x14ac:dyDescent="0.2">
      <c r="AF188" s="11">
        <v>721</v>
      </c>
      <c r="AG188" s="38"/>
    </row>
    <row r="189" spans="32:33" ht="15" x14ac:dyDescent="0.2">
      <c r="AF189" s="11" t="s">
        <v>128</v>
      </c>
      <c r="AG189" s="38"/>
    </row>
    <row r="190" spans="32:33" ht="15" x14ac:dyDescent="0.2">
      <c r="AF190" s="11">
        <v>730</v>
      </c>
      <c r="AG190" s="38"/>
    </row>
    <row r="191" spans="32:33" ht="15" x14ac:dyDescent="0.2">
      <c r="AF191" s="11" t="s">
        <v>129</v>
      </c>
      <c r="AG191" s="38"/>
    </row>
    <row r="192" spans="32:33" ht="15" x14ac:dyDescent="0.2">
      <c r="AF192" s="11">
        <v>750</v>
      </c>
      <c r="AG192" s="38"/>
    </row>
    <row r="193" spans="32:33" ht="15" x14ac:dyDescent="0.2">
      <c r="AF193" s="12" t="s">
        <v>130</v>
      </c>
      <c r="AG193" s="38"/>
    </row>
    <row r="194" spans="32:33" ht="15" x14ac:dyDescent="0.2">
      <c r="AF194" s="11">
        <v>760</v>
      </c>
      <c r="AG194" s="38"/>
    </row>
    <row r="195" spans="32:33" ht="15" x14ac:dyDescent="0.2">
      <c r="AF195" s="11" t="s">
        <v>131</v>
      </c>
      <c r="AG195" s="38"/>
    </row>
    <row r="196" spans="32:33" ht="15" x14ac:dyDescent="0.2">
      <c r="AF196" s="11">
        <v>770</v>
      </c>
      <c r="AG196" s="38"/>
    </row>
    <row r="197" spans="32:33" ht="15" x14ac:dyDescent="0.2">
      <c r="AF197" s="11" t="s">
        <v>132</v>
      </c>
      <c r="AG197" s="38"/>
    </row>
    <row r="198" spans="32:33" ht="15" x14ac:dyDescent="0.2">
      <c r="AF198" s="11">
        <v>800</v>
      </c>
      <c r="AG198" s="38"/>
    </row>
    <row r="199" spans="32:33" ht="15" x14ac:dyDescent="0.2">
      <c r="AF199" s="11" t="s">
        <v>133</v>
      </c>
      <c r="AG199" s="38"/>
    </row>
    <row r="200" spans="32:33" ht="15" x14ac:dyDescent="0.2">
      <c r="AF200" s="13">
        <v>810</v>
      </c>
      <c r="AG200" s="38"/>
    </row>
    <row r="201" spans="32:33" ht="15" x14ac:dyDescent="0.2">
      <c r="AF201" s="11">
        <v>815</v>
      </c>
      <c r="AG201" s="38"/>
    </row>
    <row r="202" spans="32:33" ht="15" x14ac:dyDescent="0.2">
      <c r="AF202" s="11">
        <v>816</v>
      </c>
      <c r="AG202" s="38"/>
    </row>
    <row r="203" spans="32:33" ht="15" x14ac:dyDescent="0.2">
      <c r="AF203" s="12">
        <v>817</v>
      </c>
      <c r="AG203" s="38"/>
    </row>
    <row r="204" spans="32:33" ht="15" x14ac:dyDescent="0.2">
      <c r="AF204" s="11">
        <v>818</v>
      </c>
      <c r="AG204" s="38"/>
    </row>
    <row r="205" spans="32:33" ht="15" x14ac:dyDescent="0.2">
      <c r="AF205" s="15">
        <v>819</v>
      </c>
      <c r="AG205" s="38"/>
    </row>
    <row r="206" spans="32:33" ht="15" x14ac:dyDescent="0.2">
      <c r="AF206" s="16">
        <v>820</v>
      </c>
      <c r="AG206" s="38" t="s">
        <v>156</v>
      </c>
    </row>
    <row r="207" spans="32:33" ht="15" x14ac:dyDescent="0.2">
      <c r="AF207" s="16">
        <v>830</v>
      </c>
      <c r="AG207" s="38"/>
    </row>
    <row r="208" spans="32:33" ht="15" x14ac:dyDescent="0.2">
      <c r="AF208" s="17" t="s">
        <v>134</v>
      </c>
      <c r="AG208" s="38"/>
    </row>
    <row r="209" spans="32:33" ht="15" x14ac:dyDescent="0.2">
      <c r="AF209" s="16">
        <v>840</v>
      </c>
      <c r="AG209" s="38" t="s">
        <v>156</v>
      </c>
    </row>
    <row r="210" spans="32:33" ht="15" x14ac:dyDescent="0.2">
      <c r="AF210" s="16">
        <v>841</v>
      </c>
      <c r="AG210" s="38"/>
    </row>
    <row r="211" spans="32:33" ht="15" x14ac:dyDescent="0.2">
      <c r="AF211" s="16" t="s">
        <v>135</v>
      </c>
      <c r="AG211" s="38"/>
    </row>
    <row r="212" spans="32:33" ht="15" x14ac:dyDescent="0.2">
      <c r="AF212" s="16">
        <v>845</v>
      </c>
      <c r="AG212" s="38"/>
    </row>
    <row r="213" spans="32:33" ht="15" x14ac:dyDescent="0.2">
      <c r="AF213" s="16" t="s">
        <v>136</v>
      </c>
      <c r="AG213" s="38"/>
    </row>
    <row r="214" spans="32:33" ht="15" x14ac:dyDescent="0.2">
      <c r="AF214" s="16">
        <v>850</v>
      </c>
      <c r="AG214" s="38"/>
    </row>
    <row r="215" spans="32:33" ht="15" x14ac:dyDescent="0.2">
      <c r="AF215" s="12">
        <v>852</v>
      </c>
      <c r="AG215" s="38"/>
    </row>
    <row r="216" spans="32:33" ht="15" x14ac:dyDescent="0.2">
      <c r="AF216" s="12" t="s">
        <v>137</v>
      </c>
      <c r="AG216" s="38"/>
    </row>
    <row r="217" spans="32:33" ht="15" x14ac:dyDescent="0.2">
      <c r="AF217" s="12">
        <v>853</v>
      </c>
      <c r="AG217" s="38"/>
    </row>
    <row r="218" spans="32:33" ht="15" x14ac:dyDescent="0.2">
      <c r="AF218" s="12" t="s">
        <v>138</v>
      </c>
      <c r="AG218" s="38"/>
    </row>
    <row r="219" spans="32:33" ht="15" x14ac:dyDescent="0.2">
      <c r="AF219" s="12">
        <v>854</v>
      </c>
      <c r="AG219" s="38"/>
    </row>
    <row r="220" spans="32:33" ht="15" x14ac:dyDescent="0.2">
      <c r="AF220" s="12" t="s">
        <v>139</v>
      </c>
      <c r="AG220" s="38"/>
    </row>
    <row r="221" spans="32:33" ht="15" x14ac:dyDescent="0.2">
      <c r="AF221" s="12">
        <v>855</v>
      </c>
      <c r="AG221" s="38"/>
    </row>
    <row r="222" spans="32:33" ht="15" x14ac:dyDescent="0.2">
      <c r="AF222" s="12" t="s">
        <v>140</v>
      </c>
      <c r="AG222" s="38"/>
    </row>
    <row r="223" spans="32:33" ht="15" x14ac:dyDescent="0.2">
      <c r="AF223" s="12">
        <v>870</v>
      </c>
      <c r="AG223" s="38"/>
    </row>
    <row r="224" spans="32:33" ht="15" x14ac:dyDescent="0.2">
      <c r="AF224" s="12" t="s">
        <v>141</v>
      </c>
      <c r="AG224" s="38"/>
    </row>
    <row r="225" spans="32:33" ht="15" x14ac:dyDescent="0.2">
      <c r="AF225" s="12">
        <v>880</v>
      </c>
      <c r="AG225" s="38"/>
    </row>
    <row r="226" spans="32:33" ht="15" x14ac:dyDescent="0.2">
      <c r="AF226" s="12" t="s">
        <v>142</v>
      </c>
      <c r="AG226" s="38"/>
    </row>
    <row r="227" spans="32:33" ht="15" x14ac:dyDescent="0.2">
      <c r="AF227" s="12">
        <v>881</v>
      </c>
      <c r="AG227" s="38"/>
    </row>
    <row r="228" spans="32:33" ht="15" x14ac:dyDescent="0.2">
      <c r="AF228" s="12">
        <v>890</v>
      </c>
      <c r="AG228" s="38"/>
    </row>
    <row r="229" spans="32:33" ht="15" x14ac:dyDescent="0.2">
      <c r="AF229" s="12">
        <v>901</v>
      </c>
      <c r="AG229" s="38"/>
    </row>
    <row r="230" spans="32:33" ht="15" x14ac:dyDescent="0.2">
      <c r="AF230" s="12" t="s">
        <v>143</v>
      </c>
      <c r="AG230" s="38"/>
    </row>
    <row r="231" spans="32:33" ht="15" x14ac:dyDescent="0.2">
      <c r="AF231" s="12">
        <v>911</v>
      </c>
      <c r="AG231" s="38"/>
    </row>
    <row r="232" spans="32:33" ht="15" x14ac:dyDescent="0.2">
      <c r="AF232" s="12" t="s">
        <v>144</v>
      </c>
      <c r="AG232" s="38"/>
    </row>
    <row r="233" spans="32:33" ht="15" x14ac:dyDescent="0.2">
      <c r="AF233" s="12">
        <v>1010</v>
      </c>
      <c r="AG233" s="38"/>
    </row>
    <row r="234" spans="32:33" ht="15" x14ac:dyDescent="0.2">
      <c r="AF234" s="12">
        <v>1011</v>
      </c>
      <c r="AG234" s="38"/>
    </row>
    <row r="235" spans="32:33" ht="15" x14ac:dyDescent="0.2">
      <c r="AF235" s="12">
        <v>1012</v>
      </c>
      <c r="AG235" s="38"/>
    </row>
    <row r="236" spans="32:33" ht="15" x14ac:dyDescent="0.2">
      <c r="AF236" s="12">
        <v>1013</v>
      </c>
      <c r="AG236" s="38"/>
    </row>
    <row r="237" spans="32:33" ht="15" x14ac:dyDescent="0.2">
      <c r="AF237" s="12">
        <v>1400</v>
      </c>
      <c r="AG237" s="38"/>
    </row>
    <row r="238" spans="32:33" ht="15" x14ac:dyDescent="0.2">
      <c r="AF238" s="12">
        <v>1460</v>
      </c>
      <c r="AG238" s="38"/>
    </row>
    <row r="239" spans="32:33" ht="15" x14ac:dyDescent="0.2">
      <c r="AF239" s="12">
        <v>2013</v>
      </c>
      <c r="AG239" s="38" t="s">
        <v>156</v>
      </c>
    </row>
    <row r="240" spans="32:33" ht="15" x14ac:dyDescent="0.2">
      <c r="AF240" s="12" t="s">
        <v>145</v>
      </c>
      <c r="AG240" s="38" t="s">
        <v>156</v>
      </c>
    </row>
    <row r="241" spans="32:33" ht="15" x14ac:dyDescent="0.2">
      <c r="AF241" s="12">
        <v>2014</v>
      </c>
      <c r="AG241" s="38" t="s">
        <v>156</v>
      </c>
    </row>
    <row r="242" spans="32:33" ht="15" x14ac:dyDescent="0.2">
      <c r="AF242" s="12">
        <v>2130</v>
      </c>
      <c r="AG242" s="38"/>
    </row>
    <row r="243" spans="32:33" ht="15" x14ac:dyDescent="0.2">
      <c r="AF243" s="12" t="s">
        <v>146</v>
      </c>
      <c r="AG243" s="38"/>
    </row>
    <row r="244" spans="32:33" ht="15" x14ac:dyDescent="0.2">
      <c r="AF244" s="12">
        <v>2131</v>
      </c>
      <c r="AG244" s="38"/>
    </row>
    <row r="245" spans="32:33" ht="15" x14ac:dyDescent="0.2">
      <c r="AF245" s="12" t="s">
        <v>147</v>
      </c>
      <c r="AG245" s="38"/>
    </row>
    <row r="246" spans="32:33" ht="15" x14ac:dyDescent="0.2">
      <c r="AF246" s="12">
        <v>2134</v>
      </c>
      <c r="AG246" s="38"/>
    </row>
    <row r="247" spans="32:33" ht="15" x14ac:dyDescent="0.2">
      <c r="AF247" s="12" t="s">
        <v>148</v>
      </c>
      <c r="AG247" s="38"/>
    </row>
    <row r="248" spans="32:33" ht="15" x14ac:dyDescent="0.2">
      <c r="AF248" s="12">
        <v>2226</v>
      </c>
      <c r="AG248" s="38"/>
    </row>
    <row r="249" spans="32:33" ht="15" x14ac:dyDescent="0.2">
      <c r="AF249" s="12" t="s">
        <v>149</v>
      </c>
      <c r="AG249" s="38"/>
    </row>
    <row r="250" spans="32:33" ht="15" x14ac:dyDescent="0.2">
      <c r="AF250" s="12">
        <v>4130</v>
      </c>
      <c r="AG250" s="38"/>
    </row>
    <row r="251" spans="32:33" ht="15" x14ac:dyDescent="0.2">
      <c r="AF251" s="12" t="s">
        <v>150</v>
      </c>
      <c r="AG251" s="38"/>
    </row>
    <row r="252" spans="32:33" ht="15" x14ac:dyDescent="0.2">
      <c r="AF252" s="12">
        <v>4131</v>
      </c>
      <c r="AG252" s="38"/>
    </row>
    <row r="253" spans="32:33" ht="15" x14ac:dyDescent="0.2">
      <c r="AF253" s="12" t="s">
        <v>151</v>
      </c>
      <c r="AG253" s="38"/>
    </row>
    <row r="254" spans="32:33" ht="15" x14ac:dyDescent="0.2">
      <c r="AF254" s="12">
        <v>5400</v>
      </c>
      <c r="AG254" s="38"/>
    </row>
    <row r="255" spans="32:33" ht="15" x14ac:dyDescent="0.2">
      <c r="AF255" s="12">
        <v>5403</v>
      </c>
      <c r="AG255" s="38"/>
    </row>
  </sheetData>
  <sheetProtection algorithmName="SHA-512" hashValue="4zVBxTeqvJXfp5onmv54Hvz2CvZGwm7uZsEZydbeaR23LSYjBtshfILqjZ3QyJ+VE2whfkMp2i1/cPZzXbSCcA==" saltValue="doSukwEwnhR1xzFNf8aWKA==" spinCount="100000" sheet="1" objects="1" scenarios="1"/>
  <sortState xmlns:xlrd2="http://schemas.microsoft.com/office/spreadsheetml/2017/richdata2" ref="A20:Q29">
    <sortCondition ref="A20"/>
  </sortState>
  <mergeCells count="82">
    <mergeCell ref="B17:K17"/>
    <mergeCell ref="B40:K40"/>
    <mergeCell ref="B41:K41"/>
    <mergeCell ref="B12:K12"/>
    <mergeCell ref="B13:K13"/>
    <mergeCell ref="B14:K14"/>
    <mergeCell ref="B15:K15"/>
    <mergeCell ref="B16:K16"/>
    <mergeCell ref="B20:K20"/>
    <mergeCell ref="B21:K21"/>
    <mergeCell ref="B22:K22"/>
    <mergeCell ref="B18:K18"/>
    <mergeCell ref="B19:K19"/>
    <mergeCell ref="B29:K29"/>
    <mergeCell ref="B30:K30"/>
    <mergeCell ref="B31:K31"/>
    <mergeCell ref="B32:K32"/>
    <mergeCell ref="B44:K44"/>
    <mergeCell ref="B43:K43"/>
    <mergeCell ref="B42:K42"/>
    <mergeCell ref="B33:K33"/>
    <mergeCell ref="B34:K34"/>
    <mergeCell ref="B35:K35"/>
    <mergeCell ref="B36:K36"/>
    <mergeCell ref="B37:K37"/>
    <mergeCell ref="B38:K38"/>
    <mergeCell ref="B39:K39"/>
    <mergeCell ref="X6:Z6"/>
    <mergeCell ref="S5:Z5"/>
    <mergeCell ref="C5:N5"/>
    <mergeCell ref="C6:G6"/>
    <mergeCell ref="H6:K6"/>
    <mergeCell ref="B28:K28"/>
    <mergeCell ref="A1:AB1"/>
    <mergeCell ref="A4:B4"/>
    <mergeCell ref="A5:B5"/>
    <mergeCell ref="A6:B6"/>
    <mergeCell ref="C3:AB3"/>
    <mergeCell ref="C4:AB4"/>
    <mergeCell ref="O5:R5"/>
    <mergeCell ref="B2:E2"/>
    <mergeCell ref="A3:B3"/>
    <mergeCell ref="F2:M2"/>
    <mergeCell ref="N2:Z2"/>
    <mergeCell ref="AA6:AB6"/>
    <mergeCell ref="L6:P6"/>
    <mergeCell ref="Q6:R6"/>
    <mergeCell ref="S6:W6"/>
    <mergeCell ref="B23:K23"/>
    <mergeCell ref="B24:K24"/>
    <mergeCell ref="B25:K25"/>
    <mergeCell ref="B26:K26"/>
    <mergeCell ref="B27:K27"/>
    <mergeCell ref="A50:C50"/>
    <mergeCell ref="D50:AB50"/>
    <mergeCell ref="A45:V49"/>
    <mergeCell ref="AB48:AB49"/>
    <mergeCell ref="AA48:AA49"/>
    <mergeCell ref="W45:X45"/>
    <mergeCell ref="W46:Z49"/>
    <mergeCell ref="Z9:AB9"/>
    <mergeCell ref="U11:X11"/>
    <mergeCell ref="A7:B7"/>
    <mergeCell ref="A8:B8"/>
    <mergeCell ref="Z8:AB8"/>
    <mergeCell ref="Y11:AB11"/>
    <mergeCell ref="C7:L7"/>
    <mergeCell ref="Q7:T7"/>
    <mergeCell ref="W7:AB7"/>
    <mergeCell ref="Z10:AB10"/>
    <mergeCell ref="U7:V7"/>
    <mergeCell ref="U12:X12"/>
    <mergeCell ref="L9:P9"/>
    <mergeCell ref="U9:X9"/>
    <mergeCell ref="Q9:T9"/>
    <mergeCell ref="U8:X8"/>
    <mergeCell ref="N8:P8"/>
    <mergeCell ref="C8:M8"/>
    <mergeCell ref="Q8:T8"/>
    <mergeCell ref="A10:K11"/>
    <mergeCell ref="A9:K9"/>
    <mergeCell ref="Q10:T10"/>
  </mergeCells>
  <phoneticPr fontId="0" type="noConversion"/>
  <conditionalFormatting sqref="C8">
    <cfRule type="expression" priority="2">
      <formula>$C$7</formula>
    </cfRule>
  </conditionalFormatting>
  <conditionalFormatting sqref="Q8">
    <cfRule type="expression" priority="1">
      <formula>$C$7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6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88"/>
  <sheetViews>
    <sheetView topLeftCell="A106" workbookViewId="0">
      <selection activeCell="F127" sqref="F127"/>
    </sheetView>
  </sheetViews>
  <sheetFormatPr defaultRowHeight="15" x14ac:dyDescent="0.2"/>
  <cols>
    <col min="1" max="1" width="10.28515625" style="5" customWidth="1"/>
    <col min="2" max="2" width="15.42578125" style="2" bestFit="1" customWidth="1"/>
    <col min="3" max="3" width="6.5703125" style="7" customWidth="1"/>
    <col min="4" max="4" width="4" style="7" bestFit="1" customWidth="1"/>
    <col min="5" max="5" width="7.5703125" style="7" customWidth="1"/>
    <col min="6" max="6" width="13.85546875" style="6" bestFit="1" customWidth="1"/>
    <col min="7" max="7" width="5.7109375" style="1" customWidth="1"/>
    <col min="8" max="9" width="5.7109375" style="1" hidden="1" customWidth="1"/>
    <col min="10" max="10" width="20.140625" style="1" hidden="1" customWidth="1"/>
    <col min="11" max="16384" width="9.140625" style="1"/>
  </cols>
  <sheetData>
    <row r="1" spans="1:10" x14ac:dyDescent="0.2">
      <c r="A1" s="25">
        <v>2201</v>
      </c>
      <c r="B1" s="38"/>
      <c r="C1" s="39"/>
      <c r="D1" s="39"/>
      <c r="E1" s="40"/>
      <c r="F1" s="6">
        <v>69.9</v>
      </c>
      <c r="H1" s="9" t="s">
        <v>24</v>
      </c>
      <c r="I1" s="8"/>
      <c r="J1" s="1" t="s">
        <v>44</v>
      </c>
    </row>
    <row r="2" spans="1:10" x14ac:dyDescent="0.2">
      <c r="A2" s="25" t="inlineStr">
        <is>
          <t>2201E</t>
        </is>
      </c>
      <c r="B2" s="38"/>
      <c r="C2" s="39"/>
      <c r="D2" s="39"/>
      <c r="E2" s="40"/>
      <c r="F2" s="6">
        <v>76.9</v>
      </c>
      <c r="H2" s="9" t="s">
        <v>25</v>
      </c>
      <c r="I2" s="8"/>
      <c r="J2" s="1" t="s">
        <v>47</v>
      </c>
    </row>
    <row r="3" spans="1:10" x14ac:dyDescent="0.2">
      <c r="A3" s="25">
        <v>2202</v>
      </c>
      <c r="B3" s="38"/>
      <c r="C3" s="39"/>
      <c r="D3" s="39"/>
      <c r="E3" s="40"/>
      <c r="F3" s="6">
        <v>59.9</v>
      </c>
      <c r="H3" s="9"/>
      <c r="I3" s="8"/>
    </row>
    <row r="4" spans="1:10" x14ac:dyDescent="0.2">
      <c r="A4" s="25">
        <v>2203</v>
      </c>
      <c r="B4" s="38"/>
      <c r="C4" s="39"/>
      <c r="D4" s="39"/>
      <c r="E4" s="40"/>
      <c r="F4" s="6">
        <v>67.9</v>
      </c>
      <c r="H4" s="9"/>
      <c r="I4" s="8"/>
    </row>
    <row r="5" spans="1:10" x14ac:dyDescent="0.2">
      <c r="A5" s="25">
        <v>2204</v>
      </c>
      <c r="B5" s="38"/>
      <c r="C5" s="39"/>
      <c r="D5" s="39"/>
      <c r="E5" s="40"/>
      <c r="F5" s="6">
        <v>95</v>
      </c>
      <c r="H5" s="9"/>
      <c r="I5" s="8"/>
    </row>
    <row r="6" spans="1:10" x14ac:dyDescent="0.2">
      <c r="A6" s="25" t="inlineStr">
        <is>
          <t>2204E</t>
        </is>
      </c>
      <c r="B6" s="38"/>
      <c r="C6" s="39"/>
      <c r="D6" s="39"/>
      <c r="E6" s="40"/>
      <c r="F6" s="6">
        <v>99.9</v>
      </c>
      <c r="H6" s="9"/>
      <c r="I6" s="8"/>
    </row>
    <row r="7" spans="1:10" x14ac:dyDescent="0.2">
      <c r="A7" s="25">
        <v>2205</v>
      </c>
      <c r="B7" s="38"/>
      <c r="C7" s="39"/>
      <c r="D7" s="39"/>
      <c r="E7" s="40"/>
      <c r="F7" s="6">
        <v>74.9</v>
      </c>
      <c r="H7" s="9" t="s">
        <v>31</v>
      </c>
      <c r="I7" s="8" t="s">
        <v>45</v>
      </c>
      <c r="J7" s="1" t="s">
        <v>46</v>
      </c>
    </row>
    <row r="8" spans="1:10" x14ac:dyDescent="0.2">
      <c r="A8" s="25" t="inlineStr">
        <is>
          <t>2205E</t>
        </is>
      </c>
      <c r="B8" s="38"/>
      <c r="C8" s="39"/>
      <c r="D8" s="39"/>
      <c r="E8" s="40"/>
      <c r="F8" s="6">
        <v>82.5</v>
      </c>
      <c r="H8" s="9" t="s">
        <v>26</v>
      </c>
      <c r="I8" s="8" t="s">
        <v>34</v>
      </c>
    </row>
    <row r="9" spans="1:10" x14ac:dyDescent="0.2">
      <c r="A9" s="25">
        <v>2206</v>
      </c>
      <c r="B9" s="38"/>
      <c r="C9" s="39"/>
      <c r="D9" s="39"/>
      <c r="E9" s="40"/>
      <c r="F9" s="6">
        <v>83.9</v>
      </c>
      <c r="H9" s="8"/>
      <c r="I9" s="8" t="s">
        <v>33</v>
      </c>
    </row>
    <row r="10" spans="1:10" x14ac:dyDescent="0.2">
      <c r="A10" s="25">
        <v>2207</v>
      </c>
      <c r="B10" s="38"/>
      <c r="C10" s="39"/>
      <c r="D10" s="39"/>
      <c r="E10" s="40"/>
      <c r="F10" s="6">
        <v>57.9</v>
      </c>
      <c r="H10" s="8"/>
      <c r="I10" s="8" t="s">
        <v>35</v>
      </c>
    </row>
    <row r="11" spans="1:10" x14ac:dyDescent="0.2">
      <c r="A11" s="25" t="inlineStr">
        <is>
          <t>2207E</t>
        </is>
      </c>
      <c r="B11" s="38"/>
      <c r="C11" s="39"/>
      <c r="D11" s="39"/>
      <c r="E11" s="40"/>
      <c r="F11" s="6">
        <v>63.9</v>
      </c>
      <c r="H11" s="8"/>
      <c r="I11" s="8" t="s">
        <v>32</v>
      </c>
    </row>
    <row r="12" spans="1:10" x14ac:dyDescent="0.2">
      <c r="A12" s="25">
        <v>2208</v>
      </c>
      <c r="B12" s="38"/>
      <c r="C12" s="39"/>
      <c r="D12" s="39"/>
      <c r="E12" s="40"/>
      <c r="F12" s="6">
        <v>58.9</v>
      </c>
      <c r="H12" s="8"/>
      <c r="I12" s="10" t="s">
        <v>36</v>
      </c>
    </row>
    <row r="13" spans="1:10" x14ac:dyDescent="0.2">
      <c r="A13" s="25" t="inlineStr">
        <is>
          <t>2208E</t>
        </is>
      </c>
      <c r="B13" s="38"/>
      <c r="C13" s="39"/>
      <c r="D13" s="39"/>
      <c r="E13" s="40"/>
      <c r="F13" s="6">
        <v>64.9</v>
      </c>
      <c r="H13" s="8"/>
      <c r="I13" s="10" t="s">
        <v>37</v>
      </c>
    </row>
    <row r="14" spans="1:10" x14ac:dyDescent="0.2">
      <c r="A14" s="25">
        <v>2212</v>
      </c>
      <c r="B14" s="38"/>
      <c r="C14" s="39"/>
      <c r="D14" s="39"/>
      <c r="E14" s="40"/>
      <c r="F14" s="6">
        <v>52.5</v>
      </c>
      <c r="H14" s="8"/>
      <c r="I14" s="10" t="s">
        <v>38</v>
      </c>
    </row>
    <row r="15" spans="1:10" x14ac:dyDescent="0.2">
      <c r="A15" s="25">
        <v>2213</v>
      </c>
      <c r="B15" s="38"/>
      <c r="C15" s="39"/>
      <c r="D15" s="39"/>
      <c r="E15" s="40"/>
      <c r="F15" s="6">
        <v>59.9</v>
      </c>
      <c r="H15" s="8"/>
      <c r="I15" s="8" t="s">
        <v>33</v>
      </c>
    </row>
    <row r="16" spans="1:10" x14ac:dyDescent="0.2">
      <c r="A16" s="25" t="inlineStr">
        <is>
          <t>2213E</t>
        </is>
      </c>
      <c r="B16" s="38"/>
      <c r="C16" s="39"/>
      <c r="D16" s="39"/>
      <c r="E16" s="40"/>
      <c r="F16" s="6">
        <v>65.9</v>
      </c>
      <c r="H16" s="8"/>
      <c r="I16" s="8" t="s">
        <v>32</v>
      </c>
    </row>
    <row r="17" spans="1:9" x14ac:dyDescent="0.2">
      <c r="A17" s="25">
        <v>2215</v>
      </c>
      <c r="B17" s="38"/>
      <c r="C17" s="39"/>
      <c r="D17" s="39"/>
      <c r="E17" s="40"/>
      <c r="F17" s="6">
        <v>70.9</v>
      </c>
      <c r="H17" s="8"/>
      <c r="I17" s="8" t="s">
        <v>39</v>
      </c>
    </row>
    <row r="18" spans="1:9" x14ac:dyDescent="0.2">
      <c r="A18" s="25" t="inlineStr">
        <is>
          <t>2215E</t>
        </is>
      </c>
      <c r="B18" s="38"/>
      <c r="C18" s="39"/>
      <c r="D18" s="39"/>
      <c r="E18" s="40"/>
      <c r="F18" s="6">
        <v>78.5</v>
      </c>
      <c r="H18" s="8"/>
      <c r="I18" s="8" t="s">
        <v>40</v>
      </c>
    </row>
    <row r="19" spans="1:9" x14ac:dyDescent="0.2">
      <c r="A19" s="25">
        <v>2216</v>
      </c>
      <c r="B19" s="38"/>
      <c r="C19" s="39"/>
      <c r="D19" s="39"/>
      <c r="E19" s="40"/>
      <c r="F19" s="6">
        <v>65.9</v>
      </c>
      <c r="H19" s="8"/>
      <c r="I19" s="10" t="s">
        <v>41</v>
      </c>
    </row>
    <row r="20" spans="1:9" x14ac:dyDescent="0.2">
      <c r="A20" s="25" t="inlineStr">
        <is>
          <t>2216E</t>
        </is>
      </c>
      <c r="B20" s="38"/>
      <c r="C20" s="39"/>
      <c r="D20" s="39"/>
      <c r="E20" s="40"/>
      <c r="F20" s="6">
        <v>72.5</v>
      </c>
      <c r="I20" s="8" t="s">
        <v>42</v>
      </c>
    </row>
    <row r="21" spans="1:9" x14ac:dyDescent="0.2">
      <c r="A21" s="25">
        <v>2217</v>
      </c>
      <c r="B21" s="38"/>
      <c r="C21" s="39"/>
      <c r="D21" s="39"/>
      <c r="E21" s="40"/>
      <c r="F21" s="6">
        <v>65.9</v>
      </c>
    </row>
    <row r="22" spans="1:9" x14ac:dyDescent="0.2">
      <c r="A22" s="25" t="inlineStr">
        <is>
          <t>2217E</t>
        </is>
      </c>
      <c r="B22" s="38"/>
      <c r="C22" s="39"/>
      <c r="D22" s="39"/>
      <c r="E22" s="40"/>
      <c r="F22" s="6">
        <v>72.5</v>
      </c>
    </row>
    <row r="23" spans="1:9" x14ac:dyDescent="0.2">
      <c r="A23" s="25">
        <v>2230</v>
      </c>
      <c r="B23" s="38"/>
      <c r="C23" s="39"/>
      <c r="D23" s="39"/>
      <c r="E23" s="40"/>
      <c r="F23" s="6">
        <v>76.9</v>
      </c>
    </row>
    <row r="24" spans="1:9" x14ac:dyDescent="0.2">
      <c r="A24" s="25" t="inlineStr">
        <is>
          <t>2230E</t>
        </is>
      </c>
      <c r="B24" s="38"/>
      <c r="C24" s="39"/>
      <c r="D24" s="39"/>
      <c r="E24" s="40"/>
      <c r="F24" s="6">
        <v>84.9</v>
      </c>
    </row>
    <row r="25" spans="1:9" x14ac:dyDescent="0.2">
      <c r="A25" s="25">
        <v>2232</v>
      </c>
      <c r="B25" s="38"/>
      <c r="C25" s="39"/>
      <c r="D25" s="39"/>
      <c r="E25" s="40"/>
      <c r="F25" s="6">
        <v>62.9</v>
      </c>
    </row>
    <row r="26" spans="1:9" x14ac:dyDescent="0.2">
      <c r="A26" s="25" t="inlineStr">
        <is>
          <t>2232E</t>
        </is>
      </c>
      <c r="B26" s="38"/>
      <c r="C26" s="39"/>
      <c r="D26" s="39"/>
      <c r="E26" s="40"/>
      <c r="F26" s="6">
        <v>69.5</v>
      </c>
    </row>
    <row r="27" spans="1:9" x14ac:dyDescent="0.2">
      <c r="A27" s="25">
        <v>2234</v>
      </c>
      <c r="B27" s="38"/>
      <c r="C27" s="39"/>
      <c r="D27" s="39"/>
      <c r="E27" s="40"/>
      <c r="F27" s="6">
        <v>82.9</v>
      </c>
    </row>
    <row r="28" spans="1:9" x14ac:dyDescent="0.2">
      <c r="A28" s="25" t="inlineStr">
        <is>
          <t>2234E</t>
        </is>
      </c>
      <c r="B28" s="38"/>
      <c r="C28" s="39"/>
      <c r="D28" s="39"/>
      <c r="E28" s="40"/>
      <c r="F28" s="6">
        <v>87.5</v>
      </c>
    </row>
    <row r="29" spans="1:9" x14ac:dyDescent="0.2">
      <c r="A29" s="25">
        <v>2240</v>
      </c>
      <c r="B29" s="38"/>
      <c r="C29" s="39"/>
      <c r="D29" s="39"/>
      <c r="E29" s="40"/>
      <c r="F29" s="6">
        <v>76.9</v>
      </c>
    </row>
    <row r="30" spans="1:9" x14ac:dyDescent="0.2">
      <c r="A30" s="25" t="inlineStr">
        <is>
          <t>2240E</t>
        </is>
      </c>
      <c r="B30" s="38"/>
      <c r="C30" s="39"/>
      <c r="D30" s="39"/>
      <c r="E30" s="40"/>
      <c r="F30" s="6">
        <v>80.9</v>
      </c>
    </row>
    <row r="31" spans="1:9" x14ac:dyDescent="0.2">
      <c r="A31" s="25">
        <v>2244</v>
      </c>
      <c r="B31" s="38"/>
      <c r="C31" s="39"/>
      <c r="D31" s="39"/>
      <c r="E31" s="40"/>
      <c r="F31" s="6">
        <v>65.9</v>
      </c>
    </row>
    <row r="32" spans="1:9" x14ac:dyDescent="0.2">
      <c r="A32" s="25" t="inlineStr">
        <is>
          <t>2244E</t>
        </is>
      </c>
      <c r="B32" s="38"/>
      <c r="C32" s="39"/>
      <c r="D32" s="39"/>
      <c r="E32" s="40"/>
      <c r="F32" s="6">
        <v>72.5</v>
      </c>
    </row>
    <row r="33" spans="1:6" x14ac:dyDescent="0.2">
      <c r="A33" s="25">
        <v>2246</v>
      </c>
      <c r="B33" s="38"/>
      <c r="C33" s="39"/>
      <c r="D33" s="39"/>
      <c r="E33" s="40"/>
      <c r="F33" s="6">
        <v>53.9</v>
      </c>
    </row>
    <row r="34" spans="1:6" x14ac:dyDescent="0.2">
      <c r="A34" s="25" t="inlineStr">
        <is>
          <t>2246E</t>
        </is>
      </c>
      <c r="B34" s="38"/>
      <c r="C34" s="39"/>
      <c r="D34" s="39"/>
      <c r="E34" s="40"/>
      <c r="F34" s="6">
        <v>59.5</v>
      </c>
    </row>
    <row r="35" spans="1:6" x14ac:dyDescent="0.2">
      <c r="A35" s="25">
        <v>2247</v>
      </c>
      <c r="B35" s="38"/>
      <c r="C35" s="39"/>
      <c r="D35" s="39"/>
      <c r="E35" s="40"/>
      <c r="F35" s="6">
        <v>39.9</v>
      </c>
    </row>
    <row r="36" spans="1:6" x14ac:dyDescent="0.2">
      <c r="A36" s="25">
        <v>2251</v>
      </c>
      <c r="B36" s="38"/>
      <c r="C36" s="39"/>
      <c r="D36" s="39"/>
      <c r="E36" s="40"/>
      <c r="F36" s="6">
        <v>32.9</v>
      </c>
    </row>
    <row r="37" spans="1:6" x14ac:dyDescent="0.2">
      <c r="A37" s="25">
        <v>2252</v>
      </c>
      <c r="B37" s="38"/>
      <c r="C37" s="39"/>
      <c r="D37" s="39"/>
      <c r="E37" s="40"/>
      <c r="F37" s="6">
        <v>32.9</v>
      </c>
    </row>
    <row r="38" spans="1:6" x14ac:dyDescent="0.2">
      <c r="A38" s="25">
        <v>2253</v>
      </c>
      <c r="B38" s="38" t="s">
        <v>156</v>
      </c>
      <c r="C38" s="39"/>
      <c r="D38" s="39"/>
      <c r="E38" s="40"/>
      <c r="F38" s="6">
        <v>49.9</v>
      </c>
    </row>
    <row r="39" spans="1:6" x14ac:dyDescent="0.2">
      <c r="A39" s="25">
        <v>2254</v>
      </c>
      <c r="B39" s="38"/>
      <c r="C39" s="39"/>
      <c r="D39" s="39"/>
      <c r="E39" s="40"/>
      <c r="F39" s="6">
        <v>49.9</v>
      </c>
    </row>
    <row r="40" spans="1:6" x14ac:dyDescent="0.2">
      <c r="A40" s="25" t="inlineStr">
        <is>
          <t>2254E</t>
        </is>
      </c>
      <c r="B40" s="38"/>
      <c r="C40" s="39"/>
      <c r="D40" s="39"/>
      <c r="E40" s="40"/>
      <c r="F40" s="6">
        <v>54.9</v>
      </c>
    </row>
    <row r="41" spans="1:6" x14ac:dyDescent="0.2">
      <c r="A41" s="25">
        <v>2256</v>
      </c>
      <c r="B41" s="38"/>
      <c r="C41" s="39"/>
      <c r="D41" s="39"/>
      <c r="E41" s="40"/>
      <c r="F41" s="6">
        <v>38.9</v>
      </c>
    </row>
    <row r="42" spans="1:6" x14ac:dyDescent="0.2">
      <c r="A42" s="25">
        <v>2257</v>
      </c>
      <c r="B42" s="38"/>
      <c r="C42" s="39"/>
      <c r="D42" s="39"/>
      <c r="E42" s="40"/>
      <c r="F42" s="6">
        <v>35.9</v>
      </c>
    </row>
    <row r="43" spans="1:6" x14ac:dyDescent="0.2">
      <c r="A43" s="25">
        <v>2258</v>
      </c>
      <c r="B43" s="38"/>
      <c r="C43" s="39"/>
      <c r="D43" s="39"/>
      <c r="E43" s="40"/>
      <c r="F43" s="6">
        <v>35.9</v>
      </c>
    </row>
    <row r="44" spans="1:6" x14ac:dyDescent="0.2">
      <c r="A44" s="25">
        <v>2260</v>
      </c>
      <c r="B44" s="38"/>
      <c r="C44" s="39"/>
      <c r="D44" s="39"/>
      <c r="E44" s="40"/>
      <c r="F44" s="6">
        <v>39.9</v>
      </c>
    </row>
    <row r="45" spans="1:6" x14ac:dyDescent="0.2">
      <c r="A45" s="25">
        <v>2265</v>
      </c>
      <c r="B45" s="38"/>
      <c r="C45" s="39"/>
      <c r="D45" s="39"/>
      <c r="E45" s="40"/>
      <c r="F45" s="6">
        <v>74.9</v>
      </c>
    </row>
    <row r="46" spans="1:6" x14ac:dyDescent="0.2">
      <c r="A46" s="25" t="inlineStr">
        <is>
          <t>2265E</t>
        </is>
      </c>
      <c r="B46" s="38"/>
      <c r="C46" s="39"/>
      <c r="D46" s="39"/>
      <c r="E46" s="40"/>
      <c r="F46" s="6">
        <v>78.9</v>
      </c>
    </row>
    <row r="47" spans="1:6" x14ac:dyDescent="0.2">
      <c r="A47" s="25">
        <v>2267</v>
      </c>
      <c r="B47" s="38"/>
      <c r="C47" s="39"/>
      <c r="D47" s="39"/>
      <c r="E47" s="40"/>
      <c r="F47" s="6">
        <v>49.9</v>
      </c>
    </row>
    <row r="48" spans="1:6" x14ac:dyDescent="0.2">
      <c r="A48" s="25" t="inlineStr">
        <is>
          <t>2267E</t>
        </is>
      </c>
      <c r="B48" s="38"/>
      <c r="C48" s="39"/>
      <c r="D48" s="39"/>
      <c r="E48" s="40"/>
      <c r="F48" s="6">
        <v>51.9</v>
      </c>
    </row>
    <row r="49" spans="1:6" x14ac:dyDescent="0.2">
      <c r="A49" s="25">
        <v>2270</v>
      </c>
      <c r="B49" s="38"/>
      <c r="C49" s="39"/>
      <c r="D49" s="39"/>
      <c r="E49" s="40"/>
      <c r="F49" s="6">
        <v>49.9</v>
      </c>
    </row>
    <row r="50" spans="1:6" x14ac:dyDescent="0.2">
      <c r="A50" s="25" t="inlineStr">
        <is>
          <t>2270E</t>
        </is>
      </c>
      <c r="B50" s="38"/>
      <c r="C50" s="39"/>
      <c r="D50" s="39"/>
      <c r="E50" s="40"/>
      <c r="F50" s="6">
        <v>52.9</v>
      </c>
    </row>
    <row r="51" spans="1:6" x14ac:dyDescent="0.2">
      <c r="A51" s="25">
        <v>2271</v>
      </c>
      <c r="B51" s="38" t="s">
        <v>156</v>
      </c>
      <c r="C51" s="39"/>
      <c r="D51" s="39"/>
      <c r="E51" s="40"/>
      <c r="F51" s="6">
        <v>59.9</v>
      </c>
    </row>
    <row r="52" spans="1:6" x14ac:dyDescent="0.2">
      <c r="A52" s="25" t="inlineStr">
        <is>
          <t>2271E</t>
        </is>
      </c>
      <c r="B52" s="38" t="s">
        <v>156</v>
      </c>
      <c r="C52" s="39"/>
      <c r="D52" s="39"/>
      <c r="E52" s="40"/>
      <c r="F52" s="6">
        <v>65.9</v>
      </c>
    </row>
    <row r="53" spans="1:6" x14ac:dyDescent="0.2">
      <c r="A53" s="25">
        <v>2278</v>
      </c>
      <c r="B53" s="38" t="s">
        <v>156</v>
      </c>
      <c r="C53" s="39"/>
      <c r="D53" s="39"/>
      <c r="E53" s="40"/>
      <c r="F53" s="6">
        <v>65.9</v>
      </c>
    </row>
    <row r="54" spans="1:6" x14ac:dyDescent="0.2">
      <c r="A54" s="25" t="inlineStr">
        <is>
          <t>2278E</t>
        </is>
      </c>
      <c r="B54" s="38"/>
      <c r="C54" s="39"/>
      <c r="D54" s="39"/>
      <c r="E54" s="40"/>
      <c r="F54" s="6">
        <v>69.5</v>
      </c>
    </row>
    <row r="55" spans="1:6" x14ac:dyDescent="0.2">
      <c r="A55" s="25">
        <v>2279</v>
      </c>
      <c r="B55" s="38"/>
      <c r="C55" s="39"/>
      <c r="D55" s="39"/>
      <c r="E55" s="40"/>
      <c r="F55" s="6">
        <v>65.9</v>
      </c>
    </row>
    <row r="56" spans="1:6" x14ac:dyDescent="0.2">
      <c r="A56" s="25" t="inlineStr">
        <is>
          <t>2279E</t>
        </is>
      </c>
      <c r="B56" s="38"/>
      <c r="C56" s="39"/>
      <c r="D56" s="39"/>
      <c r="E56" s="40"/>
      <c r="F56" s="6">
        <v>72.5</v>
      </c>
    </row>
    <row r="57" spans="1:6" x14ac:dyDescent="0.2">
      <c r="A57" s="25">
        <v>2280</v>
      </c>
      <c r="B57" s="38"/>
      <c r="C57" s="39"/>
      <c r="D57" s="39"/>
      <c r="E57" s="40"/>
      <c r="F57" s="6">
        <v>79.9</v>
      </c>
    </row>
    <row r="58" spans="1:6" x14ac:dyDescent="0.2">
      <c r="A58" s="25" t="inlineStr">
        <is>
          <t>2280E</t>
        </is>
      </c>
      <c r="B58" s="38"/>
      <c r="C58" s="39"/>
      <c r="D58" s="39"/>
      <c r="E58" s="40"/>
      <c r="F58" s="6">
        <v>84.9</v>
      </c>
    </row>
    <row r="59" spans="1:6" x14ac:dyDescent="0.2">
      <c r="A59" s="25">
        <v>2281</v>
      </c>
      <c r="B59" s="38"/>
      <c r="C59" s="39"/>
      <c r="D59" s="39"/>
      <c r="E59" s="40"/>
      <c r="F59" s="6">
        <v>79.9</v>
      </c>
    </row>
    <row r="60" spans="1:6" x14ac:dyDescent="0.2">
      <c r="A60" s="25" t="inlineStr">
        <is>
          <t>2281E</t>
        </is>
      </c>
      <c r="B60" s="38"/>
      <c r="C60" s="39"/>
      <c r="D60" s="39"/>
      <c r="E60" s="40"/>
      <c r="F60" s="6">
        <v>85.9</v>
      </c>
    </row>
    <row r="61" spans="1:6" x14ac:dyDescent="0.2">
      <c r="A61" s="25">
        <v>2282</v>
      </c>
      <c r="B61" s="38"/>
      <c r="C61" s="39"/>
      <c r="D61" s="39"/>
      <c r="E61" s="40"/>
      <c r="F61" s="6">
        <v>55.9</v>
      </c>
    </row>
    <row r="62" spans="1:6" x14ac:dyDescent="0.2">
      <c r="A62" s="25">
        <v>2283</v>
      </c>
      <c r="B62" s="38"/>
      <c r="C62" s="39"/>
      <c r="D62" s="39"/>
      <c r="E62" s="40"/>
      <c r="F62" s="6">
        <v>55.9</v>
      </c>
    </row>
    <row r="63" spans="1:6" x14ac:dyDescent="0.2">
      <c r="A63" s="25">
        <v>2284</v>
      </c>
      <c r="B63" s="38"/>
      <c r="C63" s="39"/>
      <c r="D63" s="39"/>
      <c r="E63" s="40"/>
      <c r="F63" s="6">
        <v>115.9</v>
      </c>
    </row>
    <row r="64" spans="1:6" x14ac:dyDescent="0.2">
      <c r="A64" s="25" t="inlineStr">
        <is>
          <t>2284E</t>
        </is>
      </c>
      <c r="B64" s="38"/>
      <c r="C64" s="39"/>
      <c r="D64" s="39"/>
      <c r="E64" s="40"/>
      <c r="F64" s="6">
        <v>121.9</v>
      </c>
    </row>
    <row r="65" spans="1:6" x14ac:dyDescent="0.2">
      <c r="A65" s="25">
        <v>2285</v>
      </c>
      <c r="B65" s="38"/>
      <c r="C65" s="39"/>
      <c r="D65" s="39"/>
      <c r="E65" s="40"/>
      <c r="F65" s="6">
        <v>96.9</v>
      </c>
    </row>
    <row r="66" spans="1:6" x14ac:dyDescent="0.2">
      <c r="A66" s="25" t="inlineStr">
        <is>
          <t>2285E</t>
        </is>
      </c>
      <c r="B66" s="38"/>
      <c r="C66" s="39"/>
      <c r="D66" s="39"/>
      <c r="E66" s="40"/>
      <c r="F66" s="6">
        <v>101.9</v>
      </c>
    </row>
    <row r="67" spans="1:6" x14ac:dyDescent="0.2">
      <c r="A67" s="25">
        <v>2286</v>
      </c>
      <c r="B67" s="38"/>
      <c r="C67" s="39"/>
      <c r="D67" s="39"/>
      <c r="E67" s="40"/>
      <c r="F67" s="6">
        <v>53.9</v>
      </c>
    </row>
    <row r="68" spans="1:6" x14ac:dyDescent="0.2">
      <c r="A68" s="25" t="inlineStr">
        <is>
          <t>2286E</t>
        </is>
      </c>
      <c r="B68" s="38"/>
      <c r="C68" s="39"/>
      <c r="D68" s="39"/>
      <c r="E68" s="40"/>
      <c r="F68" s="6">
        <v>59.5</v>
      </c>
    </row>
    <row r="69" spans="1:6" x14ac:dyDescent="0.2">
      <c r="A69" s="25">
        <v>2287</v>
      </c>
      <c r="B69" s="38"/>
      <c r="C69" s="39"/>
      <c r="D69" s="39"/>
      <c r="E69" s="40"/>
      <c r="F69" s="6">
        <v>29.9</v>
      </c>
    </row>
    <row r="70" spans="1:6" x14ac:dyDescent="0.2">
      <c r="A70" s="25" t="inlineStr">
        <is>
          <t>2287E</t>
        </is>
      </c>
      <c r="B70" s="38"/>
      <c r="C70" s="39"/>
      <c r="D70" s="39"/>
      <c r="E70" s="40"/>
      <c r="F70" s="6">
        <v>32.9</v>
      </c>
    </row>
    <row r="71" spans="1:6" x14ac:dyDescent="0.2">
      <c r="A71" s="25">
        <v>2288</v>
      </c>
      <c r="B71" s="38"/>
      <c r="C71" s="39"/>
      <c r="D71" s="39"/>
      <c r="E71" s="40"/>
      <c r="F71" s="6">
        <v>25.9</v>
      </c>
    </row>
    <row r="72" spans="1:6" x14ac:dyDescent="0.2">
      <c r="A72" s="25" t="inlineStr">
        <is>
          <t>2288E</t>
        </is>
      </c>
      <c r="B72" s="38"/>
      <c r="C72" s="39"/>
      <c r="D72" s="39"/>
      <c r="E72" s="40"/>
      <c r="F72" s="6">
        <v>28.5</v>
      </c>
    </row>
    <row r="73" spans="1:6" x14ac:dyDescent="0.2">
      <c r="A73" s="25">
        <v>2289</v>
      </c>
      <c r="B73" s="38"/>
      <c r="C73" s="39"/>
      <c r="D73" s="39"/>
      <c r="E73" s="40"/>
      <c r="F73" s="6">
        <v>76.9</v>
      </c>
    </row>
    <row r="74" spans="1:6" x14ac:dyDescent="0.2">
      <c r="A74" s="25" t="inlineStr">
        <is>
          <t>2289E</t>
        </is>
      </c>
      <c r="B74" s="38"/>
      <c r="C74" s="39"/>
      <c r="D74" s="39"/>
      <c r="E74" s="40"/>
      <c r="F74" s="6">
        <v>84.9</v>
      </c>
    </row>
    <row r="75" spans="1:6" x14ac:dyDescent="0.2">
      <c r="A75" s="25">
        <v>2290</v>
      </c>
      <c r="B75" s="38"/>
      <c r="C75" s="39"/>
      <c r="D75" s="39"/>
      <c r="E75" s="40"/>
      <c r="F75" s="6">
        <v>69.9</v>
      </c>
    </row>
    <row r="76" spans="1:6" x14ac:dyDescent="0.2">
      <c r="A76" s="25" t="inlineStr">
        <is>
          <t>2290E</t>
        </is>
      </c>
      <c r="B76" s="38"/>
      <c r="C76" s="39"/>
      <c r="D76" s="39"/>
      <c r="E76" s="40"/>
      <c r="F76" s="6">
        <v>73.5</v>
      </c>
    </row>
    <row r="77" spans="1:6" x14ac:dyDescent="0.2">
      <c r="A77" s="25">
        <v>2291</v>
      </c>
      <c r="B77" s="38"/>
      <c r="C77" s="39"/>
      <c r="D77" s="39"/>
      <c r="E77" s="40"/>
      <c r="F77" s="6">
        <v>89.9</v>
      </c>
    </row>
    <row r="78" spans="1:6" x14ac:dyDescent="0.2">
      <c r="A78" s="25" t="inlineStr">
        <is>
          <t>2291E</t>
        </is>
      </c>
      <c r="B78" s="38"/>
      <c r="C78" s="39"/>
      <c r="D78" s="39"/>
      <c r="E78" s="40"/>
      <c r="F78" s="6">
        <v>94.9</v>
      </c>
    </row>
    <row r="79" spans="1:6" x14ac:dyDescent="0.2">
      <c r="A79" s="25">
        <v>2293</v>
      </c>
      <c r="B79" s="38"/>
      <c r="C79" s="39"/>
      <c r="D79" s="39"/>
      <c r="E79" s="40"/>
      <c r="F79" s="6">
        <v>124.9</v>
      </c>
    </row>
    <row r="80" spans="1:6" x14ac:dyDescent="0.2">
      <c r="A80" s="25">
        <v>2294</v>
      </c>
      <c r="B80" s="38"/>
      <c r="C80" s="39"/>
      <c r="D80" s="39"/>
      <c r="E80" s="40"/>
      <c r="F80" s="6">
        <v>65.9</v>
      </c>
    </row>
    <row r="81" spans="1:6" x14ac:dyDescent="0.2">
      <c r="A81" s="25" t="inlineStr">
        <is>
          <t>2294E</t>
        </is>
      </c>
      <c r="B81" s="38"/>
      <c r="C81" s="39"/>
      <c r="D81" s="39"/>
      <c r="E81" s="40"/>
      <c r="F81" s="6">
        <v>72.5</v>
      </c>
    </row>
    <row r="82" spans="1:6" x14ac:dyDescent="0.2">
      <c r="A82" s="25">
        <v>2295</v>
      </c>
      <c r="B82" s="38"/>
      <c r="C82" s="39"/>
      <c r="D82" s="39"/>
      <c r="E82" s="40"/>
      <c r="F82" s="6">
        <v>69.5</v>
      </c>
    </row>
    <row r="83" spans="1:6" x14ac:dyDescent="0.2">
      <c r="A83" s="25" t="inlineStr">
        <is>
          <t>2295E</t>
        </is>
      </c>
      <c r="B83" s="38"/>
      <c r="C83" s="39"/>
      <c r="D83" s="39"/>
      <c r="E83" s="40"/>
      <c r="F83" s="6">
        <v>76.5</v>
      </c>
    </row>
    <row r="84" spans="1:6" x14ac:dyDescent="0.2">
      <c r="A84" s="25">
        <v>2296</v>
      </c>
      <c r="B84" s="38"/>
      <c r="C84" s="39"/>
      <c r="D84" s="39"/>
      <c r="E84" s="40"/>
      <c r="F84" s="6">
        <v>57.5</v>
      </c>
    </row>
    <row r="85" spans="1:6" x14ac:dyDescent="0.2">
      <c r="A85" s="25" t="inlineStr">
        <is>
          <t>2296E</t>
        </is>
      </c>
      <c r="B85" s="38"/>
      <c r="C85" s="39"/>
      <c r="D85" s="39"/>
      <c r="E85" s="40"/>
      <c r="F85" s="6">
        <v>63.5</v>
      </c>
    </row>
    <row r="86" spans="1:6" x14ac:dyDescent="0.2">
      <c r="A86" s="25">
        <v>22106</v>
      </c>
      <c r="B86" s="38"/>
      <c r="C86" s="39"/>
      <c r="D86" s="39"/>
      <c r="E86" s="40"/>
      <c r="F86" s="6">
        <v>59.9</v>
      </c>
    </row>
    <row r="87" spans="1:6" x14ac:dyDescent="0.2">
      <c r="A87" s="25" t="inlineStr">
        <is>
          <t>22106E</t>
        </is>
      </c>
      <c r="B87" s="38"/>
      <c r="C87" s="39"/>
      <c r="D87" s="39"/>
      <c r="E87" s="40"/>
      <c r="F87" s="6">
        <v>65.9</v>
      </c>
    </row>
    <row r="88" spans="1:6" x14ac:dyDescent="0.2">
      <c r="A88" s="25">
        <v>22111</v>
      </c>
      <c r="B88" s="38"/>
      <c r="C88" s="39"/>
      <c r="D88" s="39"/>
      <c r="E88" s="40"/>
      <c r="F88" s="6">
        <v>35.9</v>
      </c>
    </row>
    <row r="89" spans="1:6" x14ac:dyDescent="0.2">
      <c r="A89" s="25">
        <v>22112</v>
      </c>
      <c r="B89" s="38"/>
      <c r="C89" s="39"/>
      <c r="D89" s="39"/>
      <c r="E89" s="40"/>
      <c r="F89" s="6">
        <v>65.9</v>
      </c>
    </row>
    <row r="90" spans="1:6" x14ac:dyDescent="0.2">
      <c r="A90" s="25">
        <v>22113</v>
      </c>
      <c r="B90" s="38"/>
      <c r="C90" s="39"/>
      <c r="D90" s="39"/>
      <c r="E90" s="40"/>
      <c r="F90" s="6">
        <v>54.9</v>
      </c>
    </row>
    <row r="91" spans="1:6" x14ac:dyDescent="0.2">
      <c r="A91" s="25">
        <v>22114</v>
      </c>
      <c r="B91" s="38"/>
      <c r="C91" s="39"/>
      <c r="D91" s="39"/>
      <c r="E91" s="40"/>
      <c r="F91" s="6">
        <v>74.9</v>
      </c>
    </row>
    <row r="92" spans="1:6" x14ac:dyDescent="0.2">
      <c r="A92" s="25">
        <v>22115</v>
      </c>
      <c r="B92" s="38"/>
      <c r="C92" s="39"/>
      <c r="D92" s="39"/>
      <c r="E92" s="40"/>
      <c r="F92" s="6">
        <v>79.9</v>
      </c>
    </row>
    <row r="93" spans="1:6" x14ac:dyDescent="0.2">
      <c r="A93" s="25" t="inlineStr">
        <is>
          <t>22115E</t>
        </is>
      </c>
      <c r="B93" s="38"/>
      <c r="C93" s="39"/>
      <c r="D93" s="39"/>
      <c r="E93" s="40"/>
      <c r="F93" s="6">
        <v>87.9</v>
      </c>
    </row>
    <row r="94" spans="1:6" x14ac:dyDescent="0.2">
      <c r="A94" s="25">
        <v>22116</v>
      </c>
      <c r="B94" s="38"/>
      <c r="C94" s="39"/>
      <c r="D94" s="39"/>
      <c r="E94" s="40"/>
      <c r="F94" s="6">
        <v>57.9</v>
      </c>
    </row>
    <row r="95" spans="1:6" x14ac:dyDescent="0.2">
      <c r="A95" s="25" t="inlineStr">
        <is>
          <t>22116E</t>
        </is>
      </c>
      <c r="B95" s="38"/>
      <c r="C95" s="39"/>
      <c r="D95" s="39"/>
      <c r="E95" s="40"/>
      <c r="F95" s="6">
        <v>63.9</v>
      </c>
    </row>
    <row r="96" spans="1:6" x14ac:dyDescent="0.2">
      <c r="A96" s="25">
        <v>22119</v>
      </c>
      <c r="B96" s="38"/>
      <c r="C96" s="39"/>
      <c r="D96" s="39"/>
      <c r="E96" s="40"/>
      <c r="F96" s="6">
        <v>69.9</v>
      </c>
    </row>
    <row r="97" spans="1:6" x14ac:dyDescent="0.2">
      <c r="A97" s="25">
        <v>22120</v>
      </c>
      <c r="B97" s="38"/>
      <c r="C97" s="39"/>
      <c r="D97" s="39"/>
      <c r="E97" s="40"/>
      <c r="F97" s="6">
        <v>28.9</v>
      </c>
    </row>
    <row r="98" spans="1:6" x14ac:dyDescent="0.2">
      <c r="A98" s="25">
        <v>22121</v>
      </c>
      <c r="B98" s="38"/>
      <c r="C98" s="39"/>
      <c r="D98" s="39"/>
      <c r="E98" s="40"/>
      <c r="F98" s="6">
        <v>44.9</v>
      </c>
    </row>
    <row r="99" spans="1:6" x14ac:dyDescent="0.2">
      <c r="A99" s="25">
        <v>22122</v>
      </c>
      <c r="B99" s="38"/>
      <c r="C99" s="39"/>
      <c r="D99" s="39"/>
      <c r="E99" s="40"/>
      <c r="F99" s="6">
        <v>39.9</v>
      </c>
    </row>
    <row r="100" spans="1:6" x14ac:dyDescent="0.2">
      <c r="A100" s="25">
        <v>22126</v>
      </c>
      <c r="B100" s="38"/>
      <c r="C100" s="39"/>
      <c r="D100" s="39"/>
      <c r="E100" s="40"/>
      <c r="F100" s="6">
        <v>58.9</v>
      </c>
    </row>
    <row r="101" spans="1:6" x14ac:dyDescent="0.2">
      <c r="A101" s="25">
        <v>22127</v>
      </c>
      <c r="B101" s="38"/>
      <c r="C101" s="39"/>
      <c r="D101" s="39"/>
      <c r="E101" s="40"/>
      <c r="F101" s="6">
        <v>58.9</v>
      </c>
    </row>
    <row r="102" spans="1:6" x14ac:dyDescent="0.2">
      <c r="A102" s="25">
        <v>22128</v>
      </c>
      <c r="B102" s="38"/>
      <c r="C102" s="39"/>
      <c r="D102" s="39"/>
      <c r="E102" s="40"/>
      <c r="F102" s="6">
        <v>54.9</v>
      </c>
    </row>
    <row r="103" spans="1:6" x14ac:dyDescent="0.2">
      <c r="A103" s="25">
        <v>22129</v>
      </c>
      <c r="B103" s="38"/>
      <c r="C103" s="39"/>
      <c r="D103" s="39"/>
      <c r="E103" s="40"/>
      <c r="F103" s="6">
        <v>54.9</v>
      </c>
    </row>
    <row r="104" spans="1:6" x14ac:dyDescent="0.2">
      <c r="A104" s="25" t="inlineStr">
        <is>
          <t>22129E</t>
        </is>
      </c>
      <c r="B104" s="38"/>
      <c r="C104" s="39"/>
      <c r="D104" s="39"/>
      <c r="E104" s="40"/>
      <c r="F104" s="6">
        <v>60.5</v>
      </c>
    </row>
    <row r="105" spans="1:6" x14ac:dyDescent="0.2">
      <c r="A105" s="25">
        <v>22130</v>
      </c>
      <c r="B105" s="38"/>
      <c r="C105" s="39"/>
      <c r="D105" s="39"/>
      <c r="E105" s="40"/>
      <c r="F105" s="6">
        <v>57.9</v>
      </c>
    </row>
    <row r="106" spans="1:6" x14ac:dyDescent="0.2">
      <c r="A106" s="25">
        <v>22133</v>
      </c>
      <c r="B106" s="38"/>
      <c r="C106" s="39"/>
      <c r="D106" s="39"/>
      <c r="E106" s="40"/>
      <c r="F106" s="6">
        <v>84.9</v>
      </c>
    </row>
    <row r="107" spans="1:6" x14ac:dyDescent="0.2">
      <c r="A107" s="25" t="inlineStr">
        <is>
          <t>22133E</t>
        </is>
      </c>
      <c r="B107" s="38"/>
      <c r="C107" s="39"/>
      <c r="D107" s="39"/>
      <c r="E107" s="40"/>
      <c r="F107" s="6">
        <v>93.5</v>
      </c>
    </row>
    <row r="108" spans="1:6" x14ac:dyDescent="0.2">
      <c r="A108" s="25">
        <v>22142</v>
      </c>
      <c r="B108" s="38"/>
      <c r="C108" s="39"/>
      <c r="D108" s="39"/>
      <c r="E108" s="40"/>
      <c r="F108" s="6">
        <v>39.9</v>
      </c>
    </row>
    <row r="109" spans="1:6" x14ac:dyDescent="0.2">
      <c r="A109" s="25">
        <v>22144</v>
      </c>
      <c r="B109" s="38"/>
      <c r="C109" s="39"/>
      <c r="D109" s="39"/>
      <c r="E109" s="40"/>
      <c r="F109" s="6">
        <v>59.9</v>
      </c>
    </row>
    <row r="110" spans="1:6" x14ac:dyDescent="0.2">
      <c r="A110" s="25">
        <v>22145</v>
      </c>
      <c r="B110" s="38"/>
      <c r="C110" s="39"/>
      <c r="D110" s="39"/>
      <c r="E110" s="40"/>
      <c r="F110" s="6">
        <v>68.9</v>
      </c>
    </row>
    <row r="111" spans="1:6" x14ac:dyDescent="0.2">
      <c r="A111" s="25">
        <v>22146</v>
      </c>
      <c r="B111" s="38"/>
      <c r="C111" s="39"/>
      <c r="D111" s="39"/>
      <c r="E111" s="40"/>
      <c r="F111" s="6">
        <v>89.9</v>
      </c>
    </row>
    <row r="112" spans="1:6" x14ac:dyDescent="0.2">
      <c r="A112" s="25">
        <v>22147</v>
      </c>
      <c r="B112" s="38"/>
      <c r="C112" s="39"/>
      <c r="D112" s="39"/>
      <c r="E112" s="40"/>
      <c r="F112" s="6">
        <v>69.9</v>
      </c>
    </row>
    <row r="113" spans="1:6" x14ac:dyDescent="0.2">
      <c r="A113" s="25" t="inlineStr">
        <is>
          <t>22147E</t>
        </is>
      </c>
      <c r="B113" s="38" t="s">
        <v>156</v>
      </c>
      <c r="C113" s="39"/>
      <c r="D113" s="39"/>
      <c r="E113" s="40"/>
      <c r="F113" s="6">
        <v>76.9</v>
      </c>
    </row>
    <row r="114" spans="1:6" x14ac:dyDescent="0.2">
      <c r="A114" s="25">
        <v>22148</v>
      </c>
      <c r="B114" s="38"/>
      <c r="C114" s="39"/>
      <c r="D114" s="39"/>
      <c r="E114" s="40"/>
      <c r="F114" s="6">
        <v>56.9</v>
      </c>
    </row>
    <row r="115" spans="1:6" x14ac:dyDescent="0.2">
      <c r="A115" s="25">
        <v>22149</v>
      </c>
      <c r="B115" s="38"/>
      <c r="C115" s="39"/>
      <c r="D115" s="39"/>
      <c r="E115" s="40"/>
      <c r="F115" s="6">
        <v>64.9</v>
      </c>
    </row>
    <row r="116" spans="1:6" x14ac:dyDescent="0.2">
      <c r="A116" s="25">
        <v>22150</v>
      </c>
      <c r="B116" s="38"/>
      <c r="C116" s="39"/>
      <c r="D116" s="39"/>
      <c r="E116" s="40"/>
      <c r="F116" s="6">
        <v>59.9</v>
      </c>
    </row>
    <row r="117" spans="1:6" x14ac:dyDescent="0.2">
      <c r="A117" s="25">
        <v>22151</v>
      </c>
      <c r="B117" s="38"/>
      <c r="C117" s="39"/>
      <c r="D117" s="39"/>
      <c r="E117" s="40"/>
      <c r="F117" s="6">
        <v>29.9</v>
      </c>
    </row>
    <row r="118" spans="1:6" x14ac:dyDescent="0.2">
      <c r="A118" s="25">
        <v>22152</v>
      </c>
      <c r="B118" s="38"/>
      <c r="C118" s="39"/>
      <c r="D118" s="39"/>
      <c r="E118" s="40"/>
      <c r="F118" s="6">
        <v>38.9</v>
      </c>
    </row>
    <row r="119" spans="1:6" x14ac:dyDescent="0.2">
      <c r="A119" s="25">
        <v>22153</v>
      </c>
      <c r="B119" s="38"/>
      <c r="C119" s="39"/>
      <c r="D119" s="39"/>
      <c r="E119" s="40"/>
      <c r="F119" s="6">
        <v>64.9</v>
      </c>
    </row>
    <row r="120" spans="1:6" x14ac:dyDescent="0.2">
      <c r="A120" s="25">
        <v>22154</v>
      </c>
      <c r="B120" s="38"/>
      <c r="C120" s="39"/>
      <c r="D120" s="39"/>
      <c r="E120" s="40"/>
      <c r="F120" s="6">
        <v>35.9</v>
      </c>
    </row>
    <row r="121" spans="1:6" x14ac:dyDescent="0.2">
      <c r="A121" s="25">
        <v>22155</v>
      </c>
      <c r="B121" s="38"/>
      <c r="C121" s="39"/>
      <c r="D121" s="39"/>
      <c r="E121" s="40"/>
      <c r="F121" s="6">
        <v>42.9</v>
      </c>
    </row>
    <row r="122" spans="1:6" x14ac:dyDescent="0.2">
      <c r="A122" s="25">
        <v>22156</v>
      </c>
      <c r="B122" s="38"/>
      <c r="C122" s="39"/>
      <c r="D122" s="39"/>
      <c r="E122" s="40"/>
      <c r="F122" s="6">
        <v>69.5</v>
      </c>
    </row>
    <row r="123" spans="1:6" x14ac:dyDescent="0.2">
      <c r="A123" s="25">
        <v>22157</v>
      </c>
      <c r="B123" s="38"/>
      <c r="C123" s="39"/>
      <c r="D123" s="39"/>
      <c r="E123" s="40"/>
      <c r="F123" s="6">
        <v>54.9</v>
      </c>
    </row>
    <row r="124" spans="1:6" x14ac:dyDescent="0.2">
      <c r="A124" s="25">
        <v>22158</v>
      </c>
      <c r="B124" s="38"/>
      <c r="C124" s="39"/>
      <c r="D124" s="39"/>
      <c r="E124" s="40"/>
      <c r="F124" s="6">
        <v>32.9</v>
      </c>
    </row>
    <row r="125" spans="1:6" x14ac:dyDescent="0.2">
      <c r="A125" s="25">
        <v>22159</v>
      </c>
      <c r="B125" s="38"/>
      <c r="C125" s="39"/>
      <c r="D125" s="39"/>
      <c r="E125" s="40"/>
      <c r="F125" s="6">
        <v>39.9</v>
      </c>
    </row>
    <row r="126" spans="1:6" x14ac:dyDescent="0.2">
      <c r="A126" s="25">
        <v>22160</v>
      </c>
      <c r="B126" s="38"/>
      <c r="C126" s="39"/>
      <c r="D126" s="39"/>
      <c r="E126" s="40"/>
      <c r="F126" s="6">
        <v>99.9</v>
      </c>
    </row>
    <row r="127" spans="1:6" x14ac:dyDescent="0.2">
      <c r="A127" s="25">
        <v>22161</v>
      </c>
      <c r="B127" s="38"/>
      <c r="C127" s="39"/>
      <c r="D127" s="39"/>
      <c r="E127" s="40"/>
      <c r="F127" s="6">
        <v>82.9</v>
      </c>
    </row>
    <row r="128" spans="1:6" x14ac:dyDescent="0.2">
      <c r="A128" s="25">
        <v>22162</v>
      </c>
      <c r="B128" s="38"/>
      <c r="C128" s="39"/>
      <c r="D128" s="39"/>
      <c r="E128" s="40"/>
      <c r="F128" s="6">
        <v>64.9</v>
      </c>
    </row>
    <row r="129" spans="1:6" x14ac:dyDescent="0.2">
      <c r="A129" s="25">
        <v>22163</v>
      </c>
      <c r="B129" s="38"/>
      <c r="C129" s="39"/>
      <c r="D129" s="39"/>
      <c r="E129" s="40"/>
      <c r="F129" s="6">
        <v>82.9</v>
      </c>
    </row>
    <row r="130" spans="1:6" x14ac:dyDescent="0.2">
      <c r="A130" s="25">
        <v>22164</v>
      </c>
      <c r="B130" s="38"/>
      <c r="C130" s="39"/>
      <c r="D130" s="39"/>
      <c r="E130" s="40"/>
      <c r="F130" s="6">
        <v>79.9</v>
      </c>
    </row>
    <row r="131" spans="1:6" x14ac:dyDescent="0.2">
      <c r="A131" s="25">
        <v>22165</v>
      </c>
      <c r="B131" s="38"/>
      <c r="C131" s="39"/>
      <c r="D131" s="39"/>
      <c r="E131" s="40"/>
      <c r="F131" s="6">
        <v>89.9</v>
      </c>
    </row>
    <row r="132" spans="1:6" x14ac:dyDescent="0.2">
      <c r="A132" s="25">
        <v>22166</v>
      </c>
      <c r="B132" s="38"/>
      <c r="C132" s="39"/>
      <c r="D132" s="39"/>
      <c r="E132" s="40"/>
      <c r="F132" s="6">
        <v>46.9</v>
      </c>
    </row>
    <row r="133" spans="1:6" x14ac:dyDescent="0.2">
      <c r="A133" s="25">
        <v>22167</v>
      </c>
      <c r="B133" s="38"/>
      <c r="C133" s="39"/>
      <c r="D133" s="39"/>
      <c r="E133" s="40"/>
      <c r="F133" s="6">
        <v>39.9</v>
      </c>
    </row>
    <row r="134" spans="1:6" x14ac:dyDescent="0.2">
      <c r="A134" s="25">
        <v>22168</v>
      </c>
      <c r="B134" s="38"/>
      <c r="C134" s="39"/>
      <c r="D134" s="39"/>
      <c r="E134" s="40"/>
      <c r="F134" s="6">
        <v>48.9</v>
      </c>
    </row>
    <row r="135" spans="1:6" x14ac:dyDescent="0.2">
      <c r="A135" s="25">
        <v>22169</v>
      </c>
      <c r="B135" s="38"/>
      <c r="C135" s="39"/>
      <c r="D135" s="39"/>
      <c r="E135" s="40"/>
      <c r="F135" s="6">
        <v>39.9</v>
      </c>
    </row>
    <row r="136" spans="1:6" x14ac:dyDescent="0.2">
      <c r="A136" s="25">
        <v>22171</v>
      </c>
      <c r="B136" s="38"/>
      <c r="C136" s="39"/>
      <c r="D136" s="39"/>
      <c r="E136" s="40"/>
      <c r="F136" s="6">
        <v>49.5</v>
      </c>
    </row>
    <row r="137" spans="1:6" x14ac:dyDescent="0.2">
      <c r="A137" s="25" t="inlineStr">
        <is>
          <t>22171E</t>
        </is>
      </c>
      <c r="B137" s="38"/>
      <c r="C137" s="39"/>
      <c r="D137" s="39"/>
      <c r="E137" s="40"/>
      <c r="F137" s="6">
        <v>54.5</v>
      </c>
    </row>
    <row r="138" spans="1:6" x14ac:dyDescent="0.2">
      <c r="A138" s="25">
        <v>22172</v>
      </c>
      <c r="B138" s="38"/>
      <c r="C138" s="39"/>
      <c r="D138" s="39"/>
      <c r="E138" s="40"/>
      <c r="F138" s="6">
        <v>54.9</v>
      </c>
    </row>
    <row r="139" spans="1:6" x14ac:dyDescent="0.2">
      <c r="A139" s="25" t="inlineStr">
        <is>
          <t>22172E</t>
        </is>
      </c>
      <c r="B139" s="38"/>
      <c r="C139" s="39"/>
      <c r="D139" s="39"/>
      <c r="E139" s="40"/>
      <c r="F139" s="6">
        <v>57.5</v>
      </c>
    </row>
    <row r="140" spans="1:6" x14ac:dyDescent="0.2">
      <c r="A140" s="25">
        <v>22173</v>
      </c>
      <c r="B140" s="38"/>
      <c r="C140" s="39"/>
      <c r="D140" s="39"/>
      <c r="E140" s="40"/>
      <c r="F140" s="6">
        <v>62.5</v>
      </c>
    </row>
    <row r="141" spans="1:6" x14ac:dyDescent="0.2">
      <c r="A141" s="25" t="inlineStr">
        <is>
          <t>22173E</t>
        </is>
      </c>
      <c r="B141" s="38"/>
      <c r="C141" s="39"/>
      <c r="D141" s="39"/>
      <c r="E141" s="40"/>
      <c r="F141" s="6">
        <v>68.9</v>
      </c>
    </row>
    <row r="142" spans="1:6" x14ac:dyDescent="0.2">
      <c r="A142" s="25">
        <v>22174</v>
      </c>
      <c r="B142" s="38"/>
      <c r="C142" s="39"/>
      <c r="D142" s="39"/>
      <c r="E142" s="40"/>
      <c r="F142" s="6">
        <v>65.9</v>
      </c>
    </row>
    <row r="143" spans="1:6" x14ac:dyDescent="0.2">
      <c r="A143" s="25">
        <v>22175</v>
      </c>
      <c r="B143" s="38"/>
      <c r="C143" s="39"/>
      <c r="D143" s="39"/>
      <c r="E143" s="40"/>
      <c r="F143" s="6">
        <v>65.9</v>
      </c>
    </row>
    <row r="144" spans="1:6" x14ac:dyDescent="0.2">
      <c r="A144" s="25">
        <v>22179</v>
      </c>
      <c r="B144" s="38"/>
      <c r="C144" s="39"/>
      <c r="D144" s="39"/>
      <c r="E144" s="40"/>
      <c r="F144" s="6">
        <v>29.9</v>
      </c>
    </row>
    <row r="145" spans="1:6" x14ac:dyDescent="0.2">
      <c r="A145" s="25">
        <v>22180</v>
      </c>
      <c r="B145" s="38"/>
      <c r="C145" s="39"/>
      <c r="D145" s="39"/>
      <c r="E145" s="40"/>
      <c r="F145" s="6">
        <v>59.9</v>
      </c>
    </row>
    <row r="146" spans="1:6" x14ac:dyDescent="0.2">
      <c r="A146" s="25">
        <v>22181</v>
      </c>
      <c r="B146" s="38"/>
      <c r="C146" s="39"/>
      <c r="D146" s="39"/>
      <c r="E146" s="40"/>
      <c r="F146" s="6">
        <v>39.9</v>
      </c>
    </row>
    <row r="147" spans="1:6" x14ac:dyDescent="0.2">
      <c r="A147" s="25">
        <v>22182</v>
      </c>
      <c r="B147" s="38"/>
      <c r="C147" s="39"/>
      <c r="D147" s="39"/>
      <c r="E147" s="40"/>
      <c r="F147" s="6">
        <v>54.9</v>
      </c>
    </row>
    <row r="148" spans="1:6" x14ac:dyDescent="0.2">
      <c r="A148" s="25">
        <v>22183</v>
      </c>
      <c r="B148" s="38"/>
      <c r="C148" s="39"/>
      <c r="D148" s="39"/>
      <c r="E148" s="40"/>
      <c r="F148" s="6">
        <v>29.9</v>
      </c>
    </row>
    <row r="149" spans="1:6" x14ac:dyDescent="0.2">
      <c r="A149" s="25">
        <v>22184</v>
      </c>
      <c r="B149" s="38"/>
      <c r="C149" s="39"/>
      <c r="D149" s="39"/>
      <c r="E149" s="40"/>
      <c r="F149" s="6">
        <v>39.9</v>
      </c>
    </row>
    <row r="150" spans="1:6" x14ac:dyDescent="0.2">
      <c r="A150" s="25">
        <v>22185</v>
      </c>
      <c r="B150" s="38"/>
      <c r="C150" s="39"/>
      <c r="D150" s="39"/>
      <c r="E150" s="40"/>
      <c r="F150" s="6">
        <v>54.9</v>
      </c>
    </row>
    <row r="151" spans="1:6" x14ac:dyDescent="0.2">
      <c r="A151" s="25">
        <v>22186</v>
      </c>
      <c r="B151" s="38"/>
      <c r="C151" s="39"/>
      <c r="D151" s="39"/>
      <c r="E151" s="40"/>
      <c r="F151" s="6">
        <v>39.9</v>
      </c>
    </row>
    <row r="152" spans="1:6" x14ac:dyDescent="0.2">
      <c r="A152" s="25">
        <v>22187</v>
      </c>
      <c r="B152" s="38"/>
      <c r="C152" s="39"/>
      <c r="D152" s="39"/>
      <c r="E152" s="40"/>
      <c r="F152" s="6">
        <v>69.5</v>
      </c>
    </row>
    <row r="153" spans="1:6" x14ac:dyDescent="0.2">
      <c r="A153" s="25">
        <v>22188</v>
      </c>
      <c r="B153" s="38"/>
      <c r="C153" s="39"/>
      <c r="D153" s="39"/>
      <c r="E153" s="40"/>
      <c r="F153" s="6">
        <v>54.9</v>
      </c>
    </row>
    <row r="154" spans="1:6" x14ac:dyDescent="0.2">
      <c r="A154" s="25">
        <v>22189</v>
      </c>
      <c r="B154" s="38"/>
      <c r="C154" s="39"/>
      <c r="D154" s="39"/>
      <c r="E154" s="40"/>
      <c r="F154" s="6">
        <v>65.9</v>
      </c>
    </row>
    <row r="155" spans="1:6" x14ac:dyDescent="0.2">
      <c r="A155" s="25" t="inlineStr">
        <is>
          <t>22189E</t>
        </is>
      </c>
      <c r="B155" s="38"/>
      <c r="C155" s="39"/>
      <c r="D155" s="39"/>
      <c r="E155" s="40"/>
      <c r="F155" s="6">
        <v>72.5</v>
      </c>
    </row>
    <row r="156" spans="1:6" x14ac:dyDescent="0.2">
      <c r="A156" s="25">
        <v>22190</v>
      </c>
      <c r="B156" s="38"/>
      <c r="C156" s="39"/>
      <c r="D156" s="39"/>
      <c r="E156" s="40"/>
      <c r="F156" s="6">
        <v>62.5</v>
      </c>
    </row>
    <row r="157" spans="1:6" x14ac:dyDescent="0.2">
      <c r="A157" s="25">
        <v>22191</v>
      </c>
      <c r="B157" s="38"/>
      <c r="C157" s="39"/>
      <c r="D157" s="39"/>
      <c r="E157" s="40"/>
      <c r="F157" s="6">
        <v>59.9</v>
      </c>
    </row>
    <row r="158" spans="1:6" x14ac:dyDescent="0.2">
      <c r="A158" s="25">
        <v>22192</v>
      </c>
      <c r="B158" s="38"/>
      <c r="C158" s="39"/>
      <c r="D158" s="39"/>
      <c r="E158" s="40"/>
      <c r="F158" s="6">
        <v>59.9</v>
      </c>
    </row>
    <row r="159" spans="1:6" x14ac:dyDescent="0.2">
      <c r="A159" s="25">
        <v>22194</v>
      </c>
      <c r="B159" s="38"/>
      <c r="C159" s="39"/>
      <c r="D159" s="39"/>
      <c r="E159" s="40"/>
      <c r="F159" s="6">
        <v>65.9</v>
      </c>
    </row>
    <row r="160" spans="1:6" x14ac:dyDescent="0.2">
      <c r="A160" s="25">
        <v>22195</v>
      </c>
      <c r="B160" s="38"/>
      <c r="C160" s="39"/>
      <c r="D160" s="39"/>
      <c r="E160" s="40"/>
      <c r="F160" s="6">
        <v>72.9</v>
      </c>
    </row>
    <row r="161" spans="1:6" x14ac:dyDescent="0.2">
      <c r="A161" s="25">
        <v>22196</v>
      </c>
      <c r="B161" s="38"/>
      <c r="C161" s="39"/>
      <c r="D161" s="39"/>
      <c r="E161" s="40"/>
      <c r="F161" s="6">
        <v>69.9</v>
      </c>
    </row>
    <row r="162" spans="1:6" x14ac:dyDescent="0.2">
      <c r="A162" s="25">
        <v>22197</v>
      </c>
      <c r="B162" s="38"/>
      <c r="C162" s="39"/>
      <c r="D162" s="39"/>
      <c r="E162" s="40"/>
      <c r="F162" s="6">
        <v>59.9</v>
      </c>
    </row>
    <row r="163" spans="1:6" x14ac:dyDescent="0.2">
      <c r="A163" s="25">
        <v>22198</v>
      </c>
      <c r="B163" s="38"/>
      <c r="C163" s="39"/>
      <c r="D163" s="39"/>
      <c r="E163" s="40"/>
      <c r="F163" s="6">
        <v>57.9</v>
      </c>
    </row>
    <row r="164" spans="1:6" x14ac:dyDescent="0.2">
      <c r="A164" s="25">
        <v>22199</v>
      </c>
      <c r="B164" s="38"/>
      <c r="C164" s="39"/>
      <c r="D164" s="39"/>
      <c r="E164" s="40"/>
      <c r="F164" s="6">
        <v>60.5</v>
      </c>
    </row>
    <row r="165" spans="1:6" x14ac:dyDescent="0.2">
      <c r="A165" s="25" t="inlineStr">
        <is>
          <t>22199E</t>
        </is>
      </c>
      <c r="B165" s="38"/>
      <c r="C165" s="39"/>
      <c r="D165" s="39"/>
      <c r="E165" s="40"/>
      <c r="F165" s="6">
        <v>66.9</v>
      </c>
    </row>
    <row r="166" spans="1:6" x14ac:dyDescent="0.2">
      <c r="A166" s="25">
        <v>22200</v>
      </c>
      <c r="B166" s="38"/>
      <c r="C166" s="39"/>
      <c r="D166" s="39"/>
      <c r="E166" s="40"/>
      <c r="F166" s="6">
        <v>59.9</v>
      </c>
    </row>
    <row r="167" spans="1:6" x14ac:dyDescent="0.2">
      <c r="A167" s="25">
        <v>22201</v>
      </c>
      <c r="B167" s="38"/>
      <c r="C167" s="39"/>
      <c r="D167" s="39"/>
      <c r="E167" s="40"/>
      <c r="F167" s="6">
        <v>59.9</v>
      </c>
    </row>
    <row r="168" spans="1:6" x14ac:dyDescent="0.2">
      <c r="A168" s="25">
        <v>22202</v>
      </c>
      <c r="B168" s="38"/>
      <c r="C168" s="39"/>
      <c r="D168" s="39"/>
      <c r="E168" s="40"/>
      <c r="F168" s="6">
        <v>62.9</v>
      </c>
    </row>
    <row r="169" spans="1:6" x14ac:dyDescent="0.2">
      <c r="A169" s="25">
        <v>22205</v>
      </c>
      <c r="B169" s="38"/>
      <c r="C169" s="39"/>
      <c r="D169" s="39"/>
      <c r="E169" s="40"/>
      <c r="F169" s="6">
        <v>79.9</v>
      </c>
    </row>
    <row r="170" spans="1:6" x14ac:dyDescent="0.2">
      <c r="A170" s="25">
        <v>22212</v>
      </c>
      <c r="B170" s="38"/>
      <c r="C170" s="39"/>
      <c r="D170" s="39"/>
      <c r="E170" s="40"/>
      <c r="F170" s="6">
        <v>67.9</v>
      </c>
    </row>
    <row r="171" spans="1:6" x14ac:dyDescent="0.2">
      <c r="A171" s="25">
        <v>22213</v>
      </c>
      <c r="B171" s="38"/>
      <c r="C171" s="39"/>
      <c r="D171" s="39"/>
      <c r="E171" s="40"/>
      <c r="F171" s="6">
        <v>119.9</v>
      </c>
    </row>
    <row r="172" spans="1:6" x14ac:dyDescent="0.2">
      <c r="A172" s="25">
        <v>22214</v>
      </c>
      <c r="B172" s="38"/>
      <c r="C172" s="39"/>
      <c r="D172" s="39"/>
      <c r="E172" s="40"/>
      <c r="F172" s="6">
        <v>129.9</v>
      </c>
    </row>
    <row r="173" spans="1:6" x14ac:dyDescent="0.2">
      <c r="A173" s="25">
        <v>22215</v>
      </c>
      <c r="B173" s="38"/>
      <c r="C173" s="39"/>
      <c r="D173" s="39"/>
      <c r="E173" s="40"/>
      <c r="F173" s="6">
        <v>79.9</v>
      </c>
    </row>
    <row r="174" spans="1:6" x14ac:dyDescent="0.2">
      <c r="A174" s="25">
        <v>22216</v>
      </c>
      <c r="B174" s="38"/>
      <c r="C174" s="39"/>
      <c r="D174" s="39"/>
      <c r="E174" s="40"/>
      <c r="F174" s="6">
        <v>79.9</v>
      </c>
    </row>
    <row r="175" spans="1:6" x14ac:dyDescent="0.2">
      <c r="A175" s="25">
        <v>22217</v>
      </c>
      <c r="B175" s="38"/>
      <c r="C175" s="39"/>
      <c r="D175" s="39"/>
      <c r="E175" s="40"/>
      <c r="F175" s="6">
        <v>79.9</v>
      </c>
    </row>
    <row r="176" spans="1:6" x14ac:dyDescent="0.2">
      <c r="A176" s="25">
        <v>22218</v>
      </c>
      <c r="B176" s="38"/>
      <c r="C176" s="39"/>
      <c r="D176" s="39"/>
      <c r="E176" s="40"/>
      <c r="F176" s="6">
        <v>79.9</v>
      </c>
    </row>
    <row r="177" spans="1:6" x14ac:dyDescent="0.2">
      <c r="A177" s="25">
        <v>22219</v>
      </c>
      <c r="B177" s="38"/>
      <c r="C177" s="39"/>
      <c r="D177" s="39"/>
      <c r="E177" s="40"/>
      <c r="F177" s="6">
        <v>89.9</v>
      </c>
    </row>
    <row r="178" spans="1:6" x14ac:dyDescent="0.2">
      <c r="A178" s="25">
        <v>22230</v>
      </c>
      <c r="B178" s="38"/>
      <c r="C178" s="39"/>
      <c r="D178" s="39"/>
      <c r="E178" s="40"/>
      <c r="F178" s="6">
        <v>82.9</v>
      </c>
    </row>
    <row r="179" spans="1:6" x14ac:dyDescent="0.2">
      <c r="A179" s="25">
        <v>22231</v>
      </c>
      <c r="B179" s="38"/>
      <c r="C179" s="39"/>
      <c r="D179" s="39"/>
      <c r="E179" s="40"/>
      <c r="F179" s="6">
        <v>85.9</v>
      </c>
    </row>
    <row r="180" spans="1:6" x14ac:dyDescent="0.2">
      <c r="A180" s="25">
        <v>22233</v>
      </c>
      <c r="B180" s="38"/>
      <c r="C180" s="39"/>
      <c r="D180" s="39"/>
      <c r="E180" s="40"/>
      <c r="F180" s="6">
        <v>89.9</v>
      </c>
    </row>
    <row r="181" spans="1:6" x14ac:dyDescent="0.2">
      <c r="A181" s="25">
        <v>22235</v>
      </c>
      <c r="B181" s="38"/>
      <c r="C181" s="39"/>
      <c r="D181" s="39"/>
      <c r="E181" s="40"/>
      <c r="F181" s="6">
        <v>83.9</v>
      </c>
    </row>
    <row r="182" spans="1:6" x14ac:dyDescent="0.2">
      <c r="A182" s="25">
        <v>22236</v>
      </c>
      <c r="B182" s="38"/>
      <c r="C182" s="39"/>
      <c r="D182" s="39"/>
      <c r="E182" s="40"/>
      <c r="F182" s="6">
        <v>49.9</v>
      </c>
    </row>
    <row r="183" spans="1:6" x14ac:dyDescent="0.2">
      <c r="A183" s="25">
        <v>22237</v>
      </c>
      <c r="B183" s="38"/>
      <c r="C183" s="39"/>
      <c r="D183" s="39"/>
      <c r="E183" s="40"/>
      <c r="F183" s="6">
        <v>48.9</v>
      </c>
    </row>
    <row r="184" spans="1:6" x14ac:dyDescent="0.2">
      <c r="A184" s="25">
        <v>22238</v>
      </c>
      <c r="B184" s="38"/>
      <c r="C184" s="39"/>
      <c r="D184" s="39"/>
      <c r="E184" s="40"/>
      <c r="F184" s="6">
        <v>57.9</v>
      </c>
    </row>
    <row r="185" spans="1:6" x14ac:dyDescent="0.2">
      <c r="A185" s="25">
        <v>22239</v>
      </c>
      <c r="B185" s="38"/>
      <c r="C185" s="39"/>
      <c r="D185" s="39"/>
      <c r="E185" s="40"/>
      <c r="F185" s="6">
        <v>54.9</v>
      </c>
    </row>
    <row r="186" spans="1:6" x14ac:dyDescent="0.2">
      <c r="A186" s="25">
        <v>22240</v>
      </c>
      <c r="B186" s="38"/>
      <c r="C186" s="39"/>
      <c r="D186" s="39"/>
      <c r="E186" s="40"/>
      <c r="F186" s="6">
        <v>56.9</v>
      </c>
    </row>
    <row r="187" spans="1:6" x14ac:dyDescent="0.2">
      <c r="A187" s="25">
        <v>22242</v>
      </c>
      <c r="B187" s="38"/>
      <c r="C187" s="39"/>
      <c r="D187" s="39"/>
      <c r="E187" s="40"/>
      <c r="F187" s="6">
        <v>39.9</v>
      </c>
    </row>
    <row r="188" spans="1:6" x14ac:dyDescent="0.2">
      <c r="A188" s="25">
        <v>22243</v>
      </c>
      <c r="B188" s="38"/>
      <c r="C188" s="39"/>
      <c r="D188" s="39"/>
      <c r="E188" s="40"/>
      <c r="F188" s="6">
        <v>54.9</v>
      </c>
    </row>
    <row r="189" spans="1:6" x14ac:dyDescent="0.2">
      <c r="A189" s="25">
        <v>22244</v>
      </c>
      <c r="B189" s="38"/>
      <c r="C189" s="39"/>
      <c r="D189" s="39"/>
      <c r="E189" s="40"/>
      <c r="F189" s="6">
        <v>44.9</v>
      </c>
    </row>
    <row r="190" spans="1:6" x14ac:dyDescent="0.2">
      <c r="A190" s="25">
        <v>22246</v>
      </c>
      <c r="B190" s="38"/>
      <c r="C190" s="39"/>
      <c r="D190" s="39"/>
      <c r="E190" s="40"/>
      <c r="F190" s="6">
        <v>79.9</v>
      </c>
    </row>
    <row r="191" spans="1:6" x14ac:dyDescent="0.2">
      <c r="A191" s="25">
        <v>22471</v>
      </c>
      <c r="B191" s="38"/>
      <c r="C191" s="39"/>
      <c r="D191" s="39"/>
      <c r="E191" s="40"/>
      <c r="F191" s="6">
        <v>45.9</v>
      </c>
    </row>
    <row r="192" spans="1:6" x14ac:dyDescent="0.2">
      <c r="A192" s="25">
        <v>22511</v>
      </c>
      <c r="B192" s="38"/>
      <c r="C192" s="39"/>
      <c r="D192" s="39"/>
      <c r="E192" s="40"/>
      <c r="F192" s="6">
        <v>35.9</v>
      </c>
    </row>
    <row r="193" spans="1:6" x14ac:dyDescent="0.2">
      <c r="A193" s="25">
        <v>22521</v>
      </c>
      <c r="B193" s="38"/>
      <c r="C193" s="39"/>
      <c r="D193" s="39"/>
      <c r="E193" s="40"/>
      <c r="F193" s="6">
        <v>38.5</v>
      </c>
    </row>
    <row r="194" spans="1:6" x14ac:dyDescent="0.2">
      <c r="A194" s="25">
        <v>22531</v>
      </c>
      <c r="B194" s="38"/>
      <c r="C194" s="39"/>
      <c r="D194" s="39"/>
      <c r="E194" s="40"/>
      <c r="F194" s="6">
        <v>57.9</v>
      </c>
    </row>
    <row r="195" spans="1:6" x14ac:dyDescent="0.2">
      <c r="A195" s="25">
        <v>22561</v>
      </c>
      <c r="B195" s="38"/>
      <c r="C195" s="39"/>
      <c r="D195" s="39"/>
      <c r="E195" s="40"/>
      <c r="F195" s="6">
        <v>46.9</v>
      </c>
    </row>
    <row r="196" spans="1:6" x14ac:dyDescent="0.2">
      <c r="A196" s="25">
        <v>22571</v>
      </c>
      <c r="B196" s="38"/>
      <c r="C196" s="39"/>
      <c r="D196" s="39"/>
      <c r="E196" s="40"/>
      <c r="F196" s="6">
        <v>39.9</v>
      </c>
    </row>
    <row r="197" spans="1:6" x14ac:dyDescent="0.2">
      <c r="A197" s="25">
        <v>22581</v>
      </c>
      <c r="B197" s="38"/>
      <c r="C197" s="39"/>
      <c r="D197" s="39"/>
      <c r="E197" s="40"/>
      <c r="F197" s="6">
        <v>41.9</v>
      </c>
    </row>
    <row r="198" spans="1:6" x14ac:dyDescent="0.2">
      <c r="A198" s="25">
        <v>22601</v>
      </c>
      <c r="B198" s="38"/>
      <c r="C198" s="39"/>
      <c r="D198" s="39"/>
      <c r="E198" s="40"/>
      <c r="F198" s="6">
        <v>49.9</v>
      </c>
    </row>
    <row r="199" spans="1:6" x14ac:dyDescent="0.2">
      <c r="A199" s="25">
        <v>22821</v>
      </c>
      <c r="B199" s="38"/>
      <c r="C199" s="39"/>
      <c r="D199" s="39"/>
      <c r="E199" s="40"/>
      <c r="F199" s="6">
        <v>69.9</v>
      </c>
    </row>
    <row r="200" spans="1:6" x14ac:dyDescent="0.2">
      <c r="A200" s="25">
        <v>22831</v>
      </c>
      <c r="B200" s="38"/>
      <c r="C200" s="39"/>
      <c r="D200" s="39"/>
      <c r="E200" s="40"/>
      <c r="F200" s="6">
        <v>69.9</v>
      </c>
    </row>
    <row r="201" spans="1:6" x14ac:dyDescent="0.2">
      <c r="A201" s="25">
        <v>221111</v>
      </c>
      <c r="B201" s="38"/>
      <c r="C201" s="39"/>
      <c r="D201" s="39"/>
      <c r="E201" s="40"/>
      <c r="F201" s="6">
        <v>41.9</v>
      </c>
    </row>
    <row r="202" spans="1:6" x14ac:dyDescent="0.2">
      <c r="B202" s="38"/>
      <c r="C202" s="39"/>
      <c r="D202" s="39"/>
      <c r="E202" s="40"/>
    </row>
    <row r="203" spans="1:6" x14ac:dyDescent="0.2">
      <c r="B203" s="38"/>
      <c r="C203" s="39"/>
      <c r="D203" s="39"/>
      <c r="E203" s="40"/>
    </row>
    <row r="204" spans="1:6" x14ac:dyDescent="0.2">
      <c r="B204" s="38"/>
      <c r="C204" s="39"/>
      <c r="D204" s="39"/>
      <c r="E204" s="40"/>
    </row>
    <row r="205" spans="1:6" x14ac:dyDescent="0.2">
      <c r="B205" s="38"/>
      <c r="C205" s="39"/>
      <c r="D205" s="39"/>
      <c r="E205" s="40"/>
    </row>
    <row r="206" spans="1:6" x14ac:dyDescent="0.2">
      <c r="B206" s="38"/>
      <c r="C206" s="39"/>
      <c r="D206" s="39"/>
      <c r="E206" s="40"/>
    </row>
    <row r="207" spans="1:6" x14ac:dyDescent="0.2">
      <c r="B207" s="38"/>
      <c r="C207" s="39"/>
      <c r="D207" s="39"/>
      <c r="E207" s="40"/>
    </row>
    <row r="208" spans="1:6" x14ac:dyDescent="0.2">
      <c r="B208" s="38"/>
      <c r="C208" s="39"/>
      <c r="D208" s="39"/>
      <c r="E208" s="40"/>
    </row>
    <row r="209" spans="1:6" x14ac:dyDescent="0.2">
      <c r="B209" s="38"/>
      <c r="C209" s="39"/>
      <c r="D209" s="39"/>
      <c r="E209" s="40"/>
    </row>
    <row r="210" spans="1:6" x14ac:dyDescent="0.2">
      <c r="B210" s="38"/>
      <c r="C210" s="39"/>
      <c r="D210" s="39"/>
      <c r="E210" s="40"/>
    </row>
    <row r="211" spans="1:6" x14ac:dyDescent="0.2">
      <c r="B211" s="38"/>
      <c r="C211" s="39"/>
      <c r="D211" s="39"/>
      <c r="E211" s="40"/>
    </row>
    <row r="212" spans="1:6" x14ac:dyDescent="0.2">
      <c r="B212" s="38"/>
      <c r="C212" s="39"/>
      <c r="D212" s="39"/>
      <c r="E212" s="40"/>
    </row>
    <row r="213" spans="1:6" x14ac:dyDescent="0.2">
      <c r="B213" s="38"/>
      <c r="C213" s="39"/>
      <c r="D213" s="39"/>
      <c r="E213" s="40"/>
    </row>
    <row r="214" spans="1:6" x14ac:dyDescent="0.2">
      <c r="B214" s="38"/>
      <c r="C214" s="39"/>
      <c r="D214" s="39"/>
      <c r="E214" s="40"/>
    </row>
    <row r="215" spans="1:6" x14ac:dyDescent="0.2">
      <c r="B215" s="38"/>
      <c r="C215" s="39"/>
      <c r="D215" s="39"/>
      <c r="E215" s="40"/>
    </row>
    <row r="216" spans="1:6" x14ac:dyDescent="0.2">
      <c r="B216" s="38"/>
      <c r="C216" s="39"/>
      <c r="D216" s="39"/>
      <c r="E216" s="40"/>
    </row>
    <row r="217" spans="1:6" x14ac:dyDescent="0.2">
      <c r="B217" s="38"/>
      <c r="C217" s="39"/>
      <c r="D217" s="39"/>
      <c r="E217" s="40"/>
    </row>
    <row r="218" spans="1:6" x14ac:dyDescent="0.2">
      <c r="B218" s="38"/>
      <c r="C218" s="39"/>
      <c r="D218" s="39"/>
      <c r="E218" s="40"/>
    </row>
    <row r="219" spans="1:6" x14ac:dyDescent="0.2">
      <c r="B219" s="38"/>
      <c r="C219" s="39"/>
      <c r="D219" s="39"/>
      <c r="E219" s="40"/>
    </row>
    <row r="220" spans="1:6" x14ac:dyDescent="0.2">
      <c r="B220" s="38"/>
      <c r="C220" s="39"/>
      <c r="D220" s="39"/>
      <c r="E220" s="40"/>
    </row>
    <row r="221" spans="1:6" x14ac:dyDescent="0.2">
      <c r="B221" s="38"/>
      <c r="C221" s="39"/>
      <c r="D221" s="39"/>
      <c r="E221" s="40"/>
    </row>
    <row r="222" spans="1:6" x14ac:dyDescent="0.2">
      <c r="B222" s="38"/>
      <c r="C222" s="39"/>
      <c r="D222" s="39"/>
      <c r="E222" s="40"/>
    </row>
    <row r="223" spans="1:6" x14ac:dyDescent="0.2">
      <c r="B223" s="38"/>
      <c r="C223" s="39"/>
      <c r="D223" s="39"/>
      <c r="E223" s="40"/>
    </row>
    <row r="224" spans="1:6" x14ac:dyDescent="0.2">
      <c r="B224" s="38"/>
      <c r="C224" s="39"/>
      <c r="D224" s="39"/>
      <c r="E224" s="40"/>
    </row>
    <row r="225" spans="1:6" x14ac:dyDescent="0.2">
      <c r="B225" s="38"/>
      <c r="C225" s="39"/>
      <c r="D225" s="39"/>
      <c r="E225" s="40"/>
    </row>
    <row r="226" spans="1:6" x14ac:dyDescent="0.2">
      <c r="B226" s="38"/>
      <c r="C226" s="39"/>
      <c r="D226" s="39"/>
      <c r="E226" s="40"/>
    </row>
    <row r="227" spans="1:6" x14ac:dyDescent="0.2">
      <c r="B227" s="38"/>
      <c r="C227" s="39"/>
      <c r="D227" s="39"/>
      <c r="E227" s="40"/>
    </row>
    <row r="228" spans="1:6" x14ac:dyDescent="0.2">
      <c r="B228" s="38"/>
      <c r="C228" s="39"/>
      <c r="D228" s="39"/>
      <c r="E228" s="40"/>
    </row>
    <row r="229" spans="1:6" x14ac:dyDescent="0.2">
      <c r="B229" s="38"/>
      <c r="C229" s="39"/>
      <c r="D229" s="39"/>
      <c r="E229" s="40"/>
    </row>
    <row r="230" spans="1:6" x14ac:dyDescent="0.2">
      <c r="B230" s="38"/>
      <c r="C230" s="39"/>
      <c r="D230" s="39"/>
      <c r="E230" s="40"/>
    </row>
    <row r="231" spans="1:6" x14ac:dyDescent="0.2">
      <c r="B231" s="38"/>
      <c r="C231" s="39"/>
      <c r="D231" s="39"/>
      <c r="E231" s="40"/>
    </row>
    <row r="232" spans="1:6" x14ac:dyDescent="0.2">
      <c r="B232" s="38"/>
      <c r="C232" s="39"/>
      <c r="D232" s="39"/>
      <c r="E232" s="40"/>
    </row>
    <row r="233" spans="1:6" x14ac:dyDescent="0.2">
      <c r="B233" s="38"/>
      <c r="C233" s="39"/>
      <c r="D233" s="39"/>
      <c r="E233" s="40"/>
    </row>
    <row r="234" spans="1:6" x14ac:dyDescent="0.2">
      <c r="B234" s="38"/>
      <c r="C234" s="39"/>
      <c r="D234" s="39"/>
      <c r="E234" s="40"/>
    </row>
    <row r="235" spans="1:6" x14ac:dyDescent="0.2">
      <c r="B235" s="38"/>
      <c r="C235" s="39"/>
      <c r="D235" s="39"/>
      <c r="E235" s="40"/>
    </row>
    <row r="236" spans="1:6" x14ac:dyDescent="0.2">
      <c r="B236" s="38"/>
      <c r="C236" s="39"/>
      <c r="D236" s="39"/>
      <c r="E236" s="40"/>
    </row>
    <row r="237" spans="1:6" x14ac:dyDescent="0.2">
      <c r="B237" s="38"/>
      <c r="C237" s="39"/>
      <c r="D237" s="39"/>
      <c r="E237" s="40"/>
    </row>
    <row r="238" spans="1:6" x14ac:dyDescent="0.2">
      <c r="B238" s="38"/>
      <c r="C238" s="39"/>
      <c r="D238" s="39"/>
      <c r="E238" s="40"/>
    </row>
    <row r="239" spans="1:6" x14ac:dyDescent="0.2">
      <c r="B239" s="38"/>
      <c r="C239" s="39"/>
      <c r="D239" s="39"/>
      <c r="E239" s="40"/>
    </row>
    <row r="240" spans="1:6" x14ac:dyDescent="0.2">
      <c r="B240" s="38"/>
      <c r="C240" s="39"/>
      <c r="D240" s="39"/>
      <c r="E240" s="40"/>
    </row>
    <row r="241" spans="1:6" x14ac:dyDescent="0.2">
      <c r="B241" s="38"/>
      <c r="C241" s="39"/>
      <c r="D241" s="39"/>
      <c r="E241" s="40"/>
    </row>
    <row r="242" spans="1:6" x14ac:dyDescent="0.2">
      <c r="B242" s="38"/>
      <c r="C242" s="39"/>
      <c r="D242" s="39"/>
      <c r="E242" s="40"/>
    </row>
    <row r="243" spans="1:6" x14ac:dyDescent="0.2">
      <c r="B243" s="38"/>
      <c r="C243" s="39"/>
      <c r="D243" s="39"/>
      <c r="E243" s="40"/>
    </row>
    <row r="244" spans="1:6" x14ac:dyDescent="0.2">
      <c r="B244" s="38"/>
      <c r="C244" s="39"/>
      <c r="D244" s="39"/>
      <c r="E244" s="40"/>
    </row>
    <row r="245" spans="1:6" x14ac:dyDescent="0.2">
      <c r="B245" s="38"/>
      <c r="C245" s="39"/>
      <c r="D245" s="39"/>
      <c r="E245" s="40"/>
    </row>
    <row r="246" spans="1:6" x14ac:dyDescent="0.2">
      <c r="B246" s="38"/>
      <c r="C246" s="39"/>
      <c r="D246" s="39"/>
      <c r="E246" s="40"/>
    </row>
    <row r="247" spans="1:6" x14ac:dyDescent="0.2">
      <c r="B247" s="38"/>
      <c r="C247" s="39"/>
      <c r="D247" s="39"/>
      <c r="E247" s="40"/>
    </row>
    <row r="248" spans="1:6" x14ac:dyDescent="0.2">
      <c r="B248" s="38"/>
      <c r="C248" s="39"/>
      <c r="D248" s="39"/>
      <c r="E248" s="40"/>
    </row>
    <row r="249" spans="1:6" x14ac:dyDescent="0.2">
      <c r="B249" s="38"/>
      <c r="C249" s="39"/>
      <c r="D249" s="39"/>
      <c r="E249" s="40"/>
    </row>
    <row r="250" spans="1:6" x14ac:dyDescent="0.2">
      <c r="B250" s="38"/>
      <c r="C250" s="39"/>
      <c r="D250" s="39"/>
      <c r="E250" s="40"/>
    </row>
    <row r="251" spans="1:6" x14ac:dyDescent="0.2">
      <c r="B251" s="38"/>
      <c r="C251" s="39"/>
      <c r="D251" s="39"/>
      <c r="E251" s="40"/>
    </row>
    <row r="252" spans="1:6" x14ac:dyDescent="0.2">
      <c r="B252" s="38"/>
      <c r="C252" s="39"/>
      <c r="D252" s="39"/>
      <c r="E252" s="40"/>
    </row>
    <row r="253" spans="1:6" x14ac:dyDescent="0.2">
      <c r="B253" s="38"/>
      <c r="C253" s="39"/>
      <c r="D253" s="39"/>
      <c r="E253" s="40"/>
    </row>
    <row r="254" spans="1:6" x14ac:dyDescent="0.2">
      <c r="B254" s="38"/>
      <c r="C254" s="39"/>
      <c r="D254" s="39"/>
      <c r="E254" s="40"/>
    </row>
    <row r="255" spans="1:6" x14ac:dyDescent="0.2">
      <c r="B255" s="38"/>
      <c r="C255" s="39"/>
      <c r="D255" s="39"/>
      <c r="E255" s="40"/>
    </row>
    <row r="256" spans="1:6" x14ac:dyDescent="0.2">
      <c r="B256" s="38"/>
      <c r="C256" s="39"/>
      <c r="D256" s="39"/>
      <c r="E256" s="40"/>
    </row>
    <row r="257" spans="1:6" x14ac:dyDescent="0.2">
      <c r="B257" s="38"/>
      <c r="C257" s="39"/>
      <c r="D257" s="39"/>
      <c r="E257" s="40"/>
    </row>
    <row r="258" spans="1:6" x14ac:dyDescent="0.2">
      <c r="B258" s="38"/>
      <c r="C258" s="39"/>
      <c r="D258" s="39"/>
      <c r="E258" s="40"/>
    </row>
    <row r="259" spans="1:6" x14ac:dyDescent="0.2">
      <c r="B259" s="38"/>
      <c r="C259" s="39"/>
      <c r="D259" s="39"/>
      <c r="E259" s="40"/>
    </row>
    <row r="260" spans="1:6" x14ac:dyDescent="0.2">
      <c r="B260" s="38"/>
      <c r="C260" s="39"/>
      <c r="D260" s="39"/>
      <c r="E260" s="40"/>
    </row>
    <row r="261" spans="1:6" x14ac:dyDescent="0.2">
      <c r="B261" s="38"/>
      <c r="C261" s="39"/>
      <c r="D261" s="39"/>
      <c r="E261" s="40"/>
    </row>
    <row r="262" spans="1:6" x14ac:dyDescent="0.2">
      <c r="B262" s="38"/>
      <c r="C262" s="39"/>
      <c r="D262" s="39"/>
      <c r="E262" s="40"/>
    </row>
    <row r="263" spans="1:6" x14ac:dyDescent="0.2">
      <c r="B263" s="38"/>
      <c r="C263" s="39"/>
      <c r="D263" s="39"/>
      <c r="E263" s="40"/>
    </row>
    <row r="264" spans="1:6" x14ac:dyDescent="0.2">
      <c r="B264" s="38"/>
      <c r="C264" s="39"/>
      <c r="D264" s="39"/>
      <c r="E264" s="40"/>
    </row>
    <row r="265" spans="1:6" x14ac:dyDescent="0.2">
      <c r="B265" s="38"/>
      <c r="C265" s="39"/>
      <c r="D265" s="39"/>
      <c r="E265" s="40"/>
    </row>
    <row r="266" spans="1:6" x14ac:dyDescent="0.2">
      <c r="B266" s="38"/>
      <c r="C266" s="39"/>
      <c r="D266" s="39"/>
      <c r="E266" s="40"/>
    </row>
    <row r="267" spans="1:6" x14ac:dyDescent="0.2">
      <c r="B267" s="38"/>
      <c r="C267" s="39"/>
      <c r="D267" s="39"/>
      <c r="E267" s="40"/>
    </row>
    <row r="268" spans="1:6" x14ac:dyDescent="0.2">
      <c r="B268" s="38"/>
      <c r="C268" s="39"/>
      <c r="D268" s="39"/>
      <c r="E268" s="40"/>
    </row>
    <row r="269" spans="1:6" x14ac:dyDescent="0.2">
      <c r="B269" s="38"/>
      <c r="C269" s="39"/>
      <c r="D269" s="39"/>
      <c r="E269" s="40"/>
    </row>
    <row r="270" spans="1:6" x14ac:dyDescent="0.2">
      <c r="B270" s="38"/>
      <c r="C270" s="39"/>
      <c r="D270" s="39"/>
      <c r="E270" s="40"/>
    </row>
    <row r="271" spans="1:6" x14ac:dyDescent="0.2">
      <c r="B271" s="38"/>
      <c r="C271" s="39"/>
      <c r="D271" s="39"/>
      <c r="E271" s="40"/>
    </row>
    <row r="272" spans="1:6" x14ac:dyDescent="0.2">
      <c r="B272" s="38"/>
      <c r="C272" s="39"/>
      <c r="D272" s="39"/>
      <c r="E272" s="40"/>
    </row>
    <row r="273" spans="1:6" x14ac:dyDescent="0.2">
      <c r="B273" s="38"/>
      <c r="C273" s="39"/>
      <c r="D273" s="39"/>
      <c r="E273" s="40"/>
    </row>
    <row r="274" spans="1:6" x14ac:dyDescent="0.2">
      <c r="B274" s="38"/>
      <c r="C274" s="39"/>
      <c r="D274" s="39"/>
      <c r="E274" s="40"/>
    </row>
    <row r="275" spans="1:6" x14ac:dyDescent="0.2">
      <c r="B275" s="38"/>
      <c r="C275" s="39"/>
      <c r="D275" s="39"/>
      <c r="E275" s="40"/>
    </row>
    <row r="276" spans="1:6" x14ac:dyDescent="0.2">
      <c r="B276" s="38"/>
      <c r="C276" s="39"/>
      <c r="D276" s="39"/>
      <c r="E276" s="40"/>
    </row>
    <row r="277" spans="1:6" x14ac:dyDescent="0.2">
      <c r="B277" s="38"/>
      <c r="C277" s="39"/>
      <c r="D277" s="39"/>
      <c r="E277" s="40"/>
    </row>
    <row r="278" spans="1:6" x14ac:dyDescent="0.2">
      <c r="B278" s="38"/>
      <c r="C278" s="39"/>
      <c r="D278" s="39"/>
      <c r="E278" s="40"/>
    </row>
    <row r="279" spans="1:6" x14ac:dyDescent="0.2">
      <c r="B279" s="38"/>
      <c r="C279" s="39"/>
      <c r="D279" s="39"/>
      <c r="E279" s="40"/>
    </row>
    <row r="280" spans="1:6" x14ac:dyDescent="0.2">
      <c r="B280" s="38"/>
      <c r="C280" s="39"/>
      <c r="D280" s="39"/>
      <c r="E280" s="40"/>
    </row>
    <row r="281" spans="1:6" x14ac:dyDescent="0.2">
      <c r="B281" s="38"/>
      <c r="C281" s="39"/>
      <c r="D281" s="39"/>
      <c r="E281" s="40"/>
    </row>
    <row r="282" spans="1:6" x14ac:dyDescent="0.2">
      <c r="B282" s="38"/>
      <c r="C282" s="39"/>
      <c r="D282" s="39"/>
      <c r="E282" s="40"/>
    </row>
    <row r="283" spans="1:6" x14ac:dyDescent="0.2">
      <c r="B283" s="38"/>
      <c r="C283" s="39"/>
      <c r="D283" s="39"/>
      <c r="E283" s="40"/>
    </row>
    <row r="284" spans="1:6" x14ac:dyDescent="0.2">
      <c r="B284" s="38"/>
      <c r="C284" s="39"/>
      <c r="D284" s="39"/>
      <c r="E284" s="40"/>
    </row>
    <row r="285" spans="1:6" x14ac:dyDescent="0.2">
      <c r="B285" s="38"/>
      <c r="C285" s="39"/>
      <c r="D285" s="39"/>
      <c r="E285" s="40"/>
    </row>
    <row r="286" spans="1:6" x14ac:dyDescent="0.2">
      <c r="B286" s="38"/>
      <c r="C286" s="39"/>
      <c r="D286" s="39"/>
      <c r="E286" s="40"/>
    </row>
    <row r="287" spans="1:6" x14ac:dyDescent="0.2">
      <c r="B287" s="38"/>
      <c r="C287" s="39"/>
      <c r="D287" s="39"/>
      <c r="E287" s="40"/>
    </row>
    <row r="288" spans="1:6" x14ac:dyDescent="0.2">
      <c r="B288" s="38"/>
      <c r="C288" s="39"/>
      <c r="D288" s="39"/>
      <c r="E288" s="40"/>
    </row>
    <row r="289" spans="1:6" x14ac:dyDescent="0.2">
      <c r="B289" s="38"/>
      <c r="C289" s="39"/>
      <c r="D289" s="39"/>
      <c r="E289" s="40"/>
    </row>
    <row r="290" spans="1:6" x14ac:dyDescent="0.2">
      <c r="B290" s="38"/>
      <c r="C290" s="39"/>
      <c r="D290" s="39"/>
      <c r="E290" s="40"/>
    </row>
    <row r="291" spans="1:6" x14ac:dyDescent="0.2">
      <c r="B291" s="38"/>
      <c r="C291" s="39"/>
      <c r="D291" s="39"/>
      <c r="E291" s="40"/>
    </row>
    <row r="292" spans="1:6" x14ac:dyDescent="0.2">
      <c r="B292" s="38"/>
      <c r="C292" s="39"/>
      <c r="D292" s="39"/>
      <c r="E292" s="40"/>
    </row>
    <row r="293" spans="1:6" x14ac:dyDescent="0.2">
      <c r="B293" s="38"/>
      <c r="C293" s="39"/>
      <c r="D293" s="39"/>
      <c r="E293" s="40"/>
    </row>
    <row r="294" spans="1:6" x14ac:dyDescent="0.2">
      <c r="B294" s="38"/>
      <c r="C294" s="39"/>
      <c r="D294" s="39"/>
      <c r="E294" s="40"/>
    </row>
    <row r="295" spans="1:6" x14ac:dyDescent="0.2">
      <c r="B295" s="38"/>
      <c r="C295" s="39"/>
      <c r="D295" s="39"/>
      <c r="E295" s="40"/>
    </row>
    <row r="296" spans="1:6" x14ac:dyDescent="0.2">
      <c r="B296" s="38"/>
      <c r="C296" s="39"/>
      <c r="D296" s="39"/>
      <c r="E296" s="40"/>
    </row>
    <row r="297" spans="1:6" x14ac:dyDescent="0.2">
      <c r="B297" s="38"/>
      <c r="C297" s="39"/>
      <c r="D297" s="39"/>
      <c r="E297" s="40"/>
    </row>
    <row r="298" spans="1:6" x14ac:dyDescent="0.2">
      <c r="B298" s="38"/>
      <c r="C298" s="39"/>
      <c r="D298" s="39"/>
      <c r="E298" s="40"/>
    </row>
    <row r="299" spans="1:6" x14ac:dyDescent="0.2">
      <c r="B299" s="38"/>
      <c r="C299" s="39"/>
      <c r="D299" s="39"/>
      <c r="E299" s="40"/>
    </row>
    <row r="300" spans="1:6" x14ac:dyDescent="0.2">
      <c r="B300" s="38"/>
      <c r="C300" s="39"/>
      <c r="D300" s="39"/>
      <c r="E300" s="40"/>
    </row>
    <row r="301" spans="1:6" x14ac:dyDescent="0.2">
      <c r="B301" s="38"/>
      <c r="C301" s="39"/>
      <c r="D301" s="39"/>
      <c r="E301" s="40"/>
    </row>
    <row r="302" spans="1:6" x14ac:dyDescent="0.2">
      <c r="B302" s="38"/>
      <c r="C302" s="39"/>
      <c r="D302" s="39"/>
      <c r="E302" s="40"/>
    </row>
    <row r="303" spans="1:6" x14ac:dyDescent="0.2">
      <c r="B303" s="38"/>
      <c r="C303" s="39"/>
      <c r="D303" s="39"/>
      <c r="E303" s="40"/>
    </row>
    <row r="304" spans="1:6" x14ac:dyDescent="0.2">
      <c r="B304" s="38"/>
      <c r="C304" s="39"/>
      <c r="D304" s="39"/>
      <c r="E304" s="40"/>
    </row>
    <row r="305" spans="1:6" x14ac:dyDescent="0.2">
      <c r="B305" s="38"/>
      <c r="C305" s="39"/>
      <c r="D305" s="39"/>
      <c r="E305" s="40"/>
    </row>
    <row r="306" spans="1:6" x14ac:dyDescent="0.2">
      <c r="B306" s="38"/>
      <c r="C306" s="39"/>
      <c r="D306" s="39"/>
      <c r="E306" s="40"/>
    </row>
    <row r="307" spans="1:6" x14ac:dyDescent="0.2">
      <c r="B307" s="38"/>
      <c r="C307" s="39"/>
      <c r="D307" s="39"/>
      <c r="E307" s="40"/>
    </row>
    <row r="308" spans="1:6" x14ac:dyDescent="0.2">
      <c r="B308" s="38"/>
      <c r="C308" s="39"/>
      <c r="D308" s="39"/>
      <c r="E308" s="40"/>
    </row>
    <row r="309" spans="1:6" x14ac:dyDescent="0.2">
      <c r="B309" s="38"/>
      <c r="C309" s="39"/>
      <c r="D309" s="39"/>
      <c r="E309" s="40"/>
    </row>
    <row r="310" spans="1:6" x14ac:dyDescent="0.2">
      <c r="B310" s="38"/>
      <c r="C310" s="39"/>
      <c r="D310" s="39"/>
      <c r="E310" s="40"/>
    </row>
    <row r="311" spans="1:6" x14ac:dyDescent="0.2">
      <c r="B311" s="38"/>
      <c r="C311" s="39"/>
      <c r="D311" s="39"/>
      <c r="E311" s="40"/>
    </row>
    <row r="312" spans="1:6" x14ac:dyDescent="0.2">
      <c r="B312" s="38"/>
      <c r="C312" s="39"/>
      <c r="D312" s="39"/>
      <c r="E312" s="40"/>
    </row>
    <row r="313" spans="1:6" x14ac:dyDescent="0.2">
      <c r="B313" s="38"/>
      <c r="C313" s="39"/>
      <c r="D313" s="39"/>
      <c r="E313" s="40"/>
    </row>
    <row r="314" spans="1:6" x14ac:dyDescent="0.2">
      <c r="B314" s="38"/>
      <c r="C314" s="39"/>
      <c r="D314" s="39"/>
      <c r="E314" s="40"/>
    </row>
    <row r="315" spans="1:6" x14ac:dyDescent="0.2">
      <c r="B315" s="38"/>
      <c r="C315" s="39"/>
      <c r="D315" s="39"/>
      <c r="E315" s="40"/>
    </row>
    <row r="316" spans="1:6" x14ac:dyDescent="0.2">
      <c r="B316" s="38"/>
      <c r="C316" s="39"/>
      <c r="D316" s="39"/>
      <c r="E316" s="40"/>
    </row>
    <row r="317" spans="1:6" x14ac:dyDescent="0.2">
      <c r="B317" s="38"/>
      <c r="C317" s="39"/>
      <c r="D317" s="39"/>
      <c r="E317" s="40"/>
    </row>
    <row r="318" spans="1:6" x14ac:dyDescent="0.2">
      <c r="B318" s="38"/>
      <c r="C318" s="39"/>
      <c r="D318" s="39"/>
      <c r="E318" s="40"/>
    </row>
    <row r="319" spans="1:6" x14ac:dyDescent="0.2">
      <c r="B319" s="38"/>
      <c r="C319" s="39"/>
      <c r="D319" s="39"/>
      <c r="E319" s="40"/>
    </row>
    <row r="320" spans="1:6" x14ac:dyDescent="0.2">
      <c r="B320" s="38"/>
      <c r="C320" s="39"/>
      <c r="D320" s="39"/>
      <c r="E320" s="40"/>
    </row>
    <row r="321" spans="1:6" x14ac:dyDescent="0.2">
      <c r="B321" s="38"/>
      <c r="C321" s="39"/>
      <c r="D321" s="39"/>
      <c r="E321" s="40"/>
    </row>
    <row r="322" spans="1:6" x14ac:dyDescent="0.2">
      <c r="B322" s="38"/>
      <c r="C322" s="39"/>
      <c r="D322" s="39"/>
      <c r="E322" s="40"/>
    </row>
    <row r="323" spans="1:6" x14ac:dyDescent="0.2">
      <c r="B323" s="38"/>
      <c r="C323" s="39"/>
      <c r="D323" s="39"/>
      <c r="E323" s="40"/>
    </row>
    <row r="324" spans="1:6" x14ac:dyDescent="0.2">
      <c r="B324" s="38"/>
      <c r="C324" s="39"/>
      <c r="D324" s="39"/>
      <c r="E324" s="40"/>
    </row>
    <row r="325" spans="1:6" x14ac:dyDescent="0.2">
      <c r="B325" s="38"/>
      <c r="C325" s="39"/>
      <c r="D325" s="39"/>
      <c r="E325" s="40"/>
    </row>
    <row r="326" spans="1:6" x14ac:dyDescent="0.2">
      <c r="B326" s="38"/>
      <c r="C326" s="39"/>
      <c r="D326" s="39"/>
      <c r="E326" s="40"/>
    </row>
    <row r="327" spans="1:6" x14ac:dyDescent="0.2">
      <c r="B327" s="38"/>
      <c r="C327" s="39"/>
      <c r="D327" s="39"/>
      <c r="E327" s="40"/>
    </row>
    <row r="328" spans="1:6" x14ac:dyDescent="0.2">
      <c r="B328" s="38"/>
      <c r="C328" s="39"/>
      <c r="D328" s="39"/>
      <c r="E328" s="40"/>
    </row>
    <row r="329" spans="1:6" x14ac:dyDescent="0.2">
      <c r="B329" s="38"/>
      <c r="C329" s="39"/>
      <c r="D329" s="39"/>
      <c r="E329" s="40"/>
    </row>
    <row r="330" spans="1:6" x14ac:dyDescent="0.2">
      <c r="B330" s="38"/>
      <c r="C330" s="39"/>
      <c r="D330" s="39"/>
      <c r="E330" s="40"/>
    </row>
    <row r="331" spans="1:6" x14ac:dyDescent="0.2">
      <c r="B331" s="38"/>
      <c r="C331" s="39"/>
      <c r="D331" s="39"/>
      <c r="E331" s="40"/>
    </row>
    <row r="332" spans="1:6" x14ac:dyDescent="0.2">
      <c r="B332" s="38"/>
      <c r="C332" s="39"/>
      <c r="D332" s="39"/>
      <c r="E332" s="40"/>
    </row>
    <row r="333" spans="1:6" x14ac:dyDescent="0.2">
      <c r="B333" s="38"/>
      <c r="C333" s="39"/>
      <c r="D333" s="39"/>
      <c r="E333" s="40"/>
    </row>
    <row r="334" spans="1:6" x14ac:dyDescent="0.2">
      <c r="B334" s="38"/>
      <c r="C334" s="39"/>
      <c r="D334" s="39"/>
      <c r="E334" s="40"/>
    </row>
    <row r="335" spans="1:6" x14ac:dyDescent="0.2">
      <c r="B335" s="38"/>
      <c r="C335" s="39"/>
      <c r="D335" s="39"/>
      <c r="E335" s="40"/>
    </row>
    <row r="336" spans="1:6" x14ac:dyDescent="0.2">
      <c r="B336" s="38"/>
      <c r="C336" s="39"/>
      <c r="D336" s="39"/>
      <c r="E336" s="40"/>
    </row>
    <row r="337" spans="1:6" x14ac:dyDescent="0.2">
      <c r="B337" s="38"/>
      <c r="C337" s="39"/>
      <c r="D337" s="39"/>
      <c r="E337" s="40"/>
    </row>
    <row r="338" spans="1:6" x14ac:dyDescent="0.2">
      <c r="B338" s="38"/>
      <c r="C338" s="39"/>
      <c r="D338" s="39"/>
      <c r="E338" s="40"/>
    </row>
    <row r="339" spans="1:6" x14ac:dyDescent="0.2">
      <c r="B339" s="38"/>
      <c r="C339" s="39"/>
      <c r="D339" s="39"/>
      <c r="E339" s="40"/>
    </row>
    <row r="340" spans="1:6" x14ac:dyDescent="0.2">
      <c r="B340" s="38" t="s">
        <v>156</v>
      </c>
      <c r="C340" s="39"/>
      <c r="D340" s="39"/>
      <c r="E340" s="40"/>
    </row>
    <row r="341" spans="1:6" x14ac:dyDescent="0.2">
      <c r="B341" s="38"/>
      <c r="C341" s="39"/>
      <c r="D341" s="39"/>
      <c r="E341" s="40"/>
    </row>
    <row r="342" spans="1:6" x14ac:dyDescent="0.2">
      <c r="B342" s="38"/>
      <c r="C342" s="39"/>
      <c r="D342" s="39"/>
      <c r="E342" s="40"/>
    </row>
    <row r="343" spans="1:6" x14ac:dyDescent="0.2">
      <c r="B343" s="38"/>
      <c r="C343" s="39"/>
      <c r="D343" s="39"/>
      <c r="E343" s="40"/>
    </row>
    <row r="344" spans="1:6" x14ac:dyDescent="0.2">
      <c r="B344" s="38"/>
      <c r="C344" s="39"/>
      <c r="D344" s="39"/>
      <c r="E344" s="40"/>
    </row>
    <row r="345" spans="1:6" x14ac:dyDescent="0.2">
      <c r="B345" s="38"/>
      <c r="C345" s="39"/>
      <c r="D345" s="39"/>
      <c r="E345" s="40"/>
    </row>
    <row r="346" spans="1:6" x14ac:dyDescent="0.2">
      <c r="B346" s="38"/>
      <c r="C346" s="39"/>
      <c r="D346" s="39"/>
      <c r="E346" s="40"/>
    </row>
    <row r="347" spans="1:6" x14ac:dyDescent="0.2">
      <c r="B347" s="38"/>
      <c r="C347" s="39"/>
      <c r="D347" s="39"/>
      <c r="E347" s="40"/>
    </row>
    <row r="348" spans="1:6" x14ac:dyDescent="0.2">
      <c r="B348" s="38"/>
      <c r="C348" s="39"/>
      <c r="D348" s="39"/>
      <c r="E348" s="40"/>
    </row>
    <row r="349" spans="1:6" x14ac:dyDescent="0.2">
      <c r="B349" s="38"/>
      <c r="C349" s="39"/>
      <c r="D349" s="39"/>
      <c r="E349" s="40"/>
    </row>
    <row r="350" spans="1:6" x14ac:dyDescent="0.2">
      <c r="B350" s="38"/>
      <c r="C350" s="39"/>
      <c r="D350" s="39"/>
      <c r="E350" s="40"/>
    </row>
    <row r="351" spans="1:6" x14ac:dyDescent="0.2">
      <c r="B351" s="38"/>
      <c r="C351" s="39"/>
      <c r="D351" s="39"/>
      <c r="E351" s="40"/>
    </row>
    <row r="352" spans="1:6" x14ac:dyDescent="0.2">
      <c r="B352" s="90"/>
      <c r="C352" s="88"/>
      <c r="D352" s="88"/>
      <c r="E352" s="89"/>
    </row>
    <row r="353" spans="1:6" x14ac:dyDescent="0.2">
      <c r="B353" s="80"/>
      <c r="C353" s="81"/>
      <c r="D353" s="81"/>
      <c r="E353" s="81"/>
    </row>
    <row r="354" spans="1:6" x14ac:dyDescent="0.2">
      <c r="B354" s="80"/>
      <c r="C354" s="81"/>
      <c r="D354" s="81"/>
      <c r="E354" s="81"/>
    </row>
    <row r="355" spans="1:6" x14ac:dyDescent="0.2">
      <c r="B355" s="80"/>
      <c r="C355" s="81"/>
      <c r="D355" s="81"/>
      <c r="E355" s="81"/>
    </row>
    <row r="356" spans="1:6" x14ac:dyDescent="0.2">
      <c r="B356" s="80"/>
      <c r="C356" s="81"/>
      <c r="D356" s="81"/>
      <c r="E356" s="81"/>
    </row>
    <row r="357" spans="1:6" x14ac:dyDescent="0.2">
      <c r="B357" s="80"/>
      <c r="C357" s="81"/>
      <c r="D357" s="81"/>
      <c r="E357" s="81"/>
    </row>
    <row r="358" spans="1:6" x14ac:dyDescent="0.2">
      <c r="B358" s="80"/>
      <c r="C358" s="81"/>
      <c r="D358" s="81"/>
      <c r="E358" s="81"/>
    </row>
    <row r="359" spans="1:6" x14ac:dyDescent="0.2">
      <c r="B359" s="80"/>
      <c r="C359" s="81"/>
      <c r="D359" s="81"/>
      <c r="E359" s="81"/>
    </row>
    <row r="360" spans="1:6" x14ac:dyDescent="0.2">
      <c r="B360" s="80"/>
      <c r="C360" s="81"/>
      <c r="D360" s="81"/>
      <c r="E360" s="81"/>
    </row>
    <row r="361" spans="1:6" x14ac:dyDescent="0.2">
      <c r="B361" s="80"/>
      <c r="C361" s="81"/>
      <c r="D361" s="81"/>
      <c r="E361" s="81"/>
    </row>
    <row r="362" spans="1:6" x14ac:dyDescent="0.2">
      <c r="B362" s="80"/>
      <c r="C362" s="81"/>
      <c r="D362" s="81"/>
      <c r="E362" s="81"/>
    </row>
    <row r="363" spans="1:6" x14ac:dyDescent="0.2">
      <c r="B363" s="80"/>
      <c r="C363" s="81"/>
      <c r="D363" s="81"/>
      <c r="E363" s="81"/>
    </row>
    <row r="364" spans="1:6" x14ac:dyDescent="0.2">
      <c r="B364" s="80"/>
      <c r="C364" s="81"/>
      <c r="D364" s="81"/>
      <c r="E364" s="81"/>
    </row>
    <row r="365" spans="1:6" x14ac:dyDescent="0.2">
      <c r="B365" s="80"/>
      <c r="C365" s="81"/>
      <c r="D365" s="81"/>
      <c r="E365" s="81"/>
    </row>
    <row r="366" spans="1:6" x14ac:dyDescent="0.2">
      <c r="B366" s="80"/>
      <c r="C366" s="81"/>
      <c r="D366" s="81"/>
      <c r="E366" s="81"/>
    </row>
    <row r="367" spans="1:6" x14ac:dyDescent="0.2">
      <c r="B367" s="80"/>
      <c r="C367" s="81"/>
      <c r="D367" s="81"/>
      <c r="E367" s="81"/>
    </row>
    <row r="368" spans="1:6" x14ac:dyDescent="0.2">
      <c r="B368" s="80"/>
      <c r="C368" s="81"/>
      <c r="D368" s="81"/>
      <c r="E368" s="81"/>
    </row>
    <row r="369" spans="2:6" x14ac:dyDescent="0.2">
      <c r="B369" s="80"/>
      <c r="C369" s="81"/>
      <c r="D369" s="81"/>
      <c r="E369" s="81"/>
    </row>
    <row r="370" spans="2:6" x14ac:dyDescent="0.2">
      <c r="B370" s="84"/>
      <c r="C370" s="81"/>
      <c r="D370" s="81"/>
      <c r="E370" s="81"/>
    </row>
    <row r="371" spans="2:6" x14ac:dyDescent="0.2">
      <c r="B371" s="84"/>
      <c r="C371" s="81"/>
      <c r="D371" s="81"/>
      <c r="E371" s="81"/>
    </row>
    <row r="372" spans="2:6" x14ac:dyDescent="0.2">
      <c r="B372" s="84"/>
      <c r="C372" s="81"/>
      <c r="D372" s="81"/>
      <c r="E372" s="81"/>
    </row>
    <row r="373" spans="2:6" x14ac:dyDescent="0.2">
      <c r="B373" s="84"/>
      <c r="C373" s="81"/>
      <c r="D373" s="81"/>
      <c r="E373" s="81"/>
    </row>
    <row r="374" spans="2:6" x14ac:dyDescent="0.2">
      <c r="B374" s="84"/>
      <c r="C374" s="81"/>
      <c r="D374" s="81"/>
      <c r="E374" s="81"/>
    </row>
    <row r="375" spans="2:6" x14ac:dyDescent="0.2">
      <c r="B375" s="84"/>
      <c r="C375" s="81"/>
      <c r="D375" s="81"/>
      <c r="E375" s="81"/>
    </row>
    <row r="376" spans="2:6" x14ac:dyDescent="0.2">
      <c r="C376" s="81"/>
      <c r="D376" s="81"/>
      <c r="E376" s="81"/>
    </row>
    <row r="377" spans="2:6" x14ac:dyDescent="0.2">
      <c r="C377" s="81"/>
      <c r="D377" s="81"/>
      <c r="E377" s="81"/>
    </row>
    <row r="378" spans="2:6" x14ac:dyDescent="0.2">
      <c r="C378" s="81"/>
      <c r="D378" s="81"/>
      <c r="E378" s="81"/>
    </row>
    <row r="379" spans="2:6" x14ac:dyDescent="0.2">
      <c r="C379" s="81"/>
      <c r="D379" s="81"/>
      <c r="E379" s="81"/>
    </row>
    <row r="380" spans="2:6" x14ac:dyDescent="0.2">
      <c r="C380" s="81"/>
      <c r="D380" s="81"/>
      <c r="E380" s="81"/>
    </row>
    <row r="381" spans="2:6" x14ac:dyDescent="0.2">
      <c r="C381" s="81"/>
      <c r="D381" s="81"/>
      <c r="E381" s="81"/>
    </row>
    <row r="382" spans="2:6" x14ac:dyDescent="0.2">
      <c r="C382" s="81"/>
      <c r="D382" s="81"/>
      <c r="E382" s="81"/>
    </row>
    <row r="383" spans="2:6" x14ac:dyDescent="0.2">
      <c r="C383" s="81"/>
      <c r="D383" s="81"/>
      <c r="E383" s="81"/>
    </row>
    <row r="384" spans="2:6" x14ac:dyDescent="0.2">
      <c r="C384" s="81"/>
      <c r="D384" s="81"/>
      <c r="E384" s="81"/>
    </row>
    <row r="385" spans="3:6" x14ac:dyDescent="0.2">
      <c r="C385" s="81"/>
      <c r="D385" s="81"/>
      <c r="E385" s="81"/>
    </row>
    <row r="386" spans="3:6" x14ac:dyDescent="0.2">
      <c r="C386" s="81"/>
      <c r="D386" s="81"/>
      <c r="E386" s="81"/>
    </row>
    <row r="387" spans="3:6" x14ac:dyDescent="0.2">
      <c r="C387" s="81"/>
      <c r="D387" s="81"/>
      <c r="E387" s="81"/>
    </row>
    <row r="388" spans="3:6" x14ac:dyDescent="0.2">
      <c r="C388" s="81"/>
      <c r="D388" s="81"/>
      <c r="E388" s="81"/>
    </row>
    <row r="389" spans="3:6" x14ac:dyDescent="0.2">
      <c r="C389" s="81"/>
      <c r="D389" s="81"/>
      <c r="E389" s="81"/>
    </row>
    <row r="390" spans="3:6" x14ac:dyDescent="0.2">
      <c r="C390" s="81"/>
      <c r="D390" s="81"/>
      <c r="E390" s="81"/>
    </row>
    <row r="391" spans="3:6" x14ac:dyDescent="0.2">
      <c r="C391" s="81"/>
      <c r="D391" s="81"/>
      <c r="E391" s="81"/>
    </row>
    <row r="392" spans="3:6" x14ac:dyDescent="0.2">
      <c r="C392" s="81"/>
      <c r="D392" s="81"/>
      <c r="E392" s="81"/>
    </row>
    <row r="393" spans="3:6" x14ac:dyDescent="0.2">
      <c r="C393" s="81"/>
      <c r="D393" s="81"/>
      <c r="E393" s="81"/>
    </row>
    <row r="394" spans="3:6" x14ac:dyDescent="0.2">
      <c r="C394" s="81"/>
      <c r="D394" s="81"/>
      <c r="E394" s="81"/>
    </row>
    <row r="395" spans="3:6" x14ac:dyDescent="0.2">
      <c r="C395" s="81"/>
      <c r="D395" s="81"/>
      <c r="E395" s="81"/>
    </row>
    <row r="396" spans="3:6" x14ac:dyDescent="0.2">
      <c r="C396" s="81"/>
      <c r="D396" s="81"/>
      <c r="E396" s="81"/>
    </row>
    <row r="397" spans="3:6" x14ac:dyDescent="0.2">
      <c r="C397" s="81"/>
      <c r="D397" s="81"/>
      <c r="E397" s="81"/>
    </row>
    <row r="398" spans="3:6" x14ac:dyDescent="0.2">
      <c r="C398" s="81"/>
      <c r="D398" s="81"/>
      <c r="E398" s="81"/>
    </row>
    <row r="399" spans="3:6" x14ac:dyDescent="0.2">
      <c r="C399" s="81"/>
      <c r="D399" s="81"/>
      <c r="E399" s="81"/>
    </row>
    <row r="400" spans="3:6" x14ac:dyDescent="0.2">
      <c r="C400" s="81"/>
      <c r="D400" s="81"/>
      <c r="E400" s="81"/>
    </row>
    <row r="401" spans="3:6" x14ac:dyDescent="0.2">
      <c r="C401" s="81"/>
      <c r="D401" s="81"/>
      <c r="E401" s="81"/>
    </row>
    <row r="402" spans="3:6" x14ac:dyDescent="0.2">
      <c r="C402" s="81"/>
      <c r="D402" s="81"/>
      <c r="E402" s="81"/>
    </row>
    <row r="403" spans="3:6" x14ac:dyDescent="0.2">
      <c r="C403" s="81"/>
      <c r="D403" s="81"/>
      <c r="E403" s="81"/>
    </row>
    <row r="404" spans="3:6" x14ac:dyDescent="0.2">
      <c r="C404" s="81"/>
      <c r="D404" s="81"/>
      <c r="E404" s="81"/>
    </row>
    <row r="405" spans="3:6" x14ac:dyDescent="0.2">
      <c r="C405" s="81"/>
      <c r="D405" s="81"/>
      <c r="E405" s="81"/>
    </row>
    <row r="406" spans="3:6" x14ac:dyDescent="0.2">
      <c r="C406" s="81"/>
      <c r="D406" s="81"/>
      <c r="E406" s="81"/>
    </row>
    <row r="407" spans="3:6" x14ac:dyDescent="0.2">
      <c r="C407" s="81"/>
      <c r="D407" s="81"/>
      <c r="E407" s="81"/>
    </row>
    <row r="408" spans="3:6" x14ac:dyDescent="0.2">
      <c r="C408" s="81"/>
      <c r="D408" s="81"/>
      <c r="E408" s="81"/>
    </row>
    <row r="409" spans="3:6" x14ac:dyDescent="0.2">
      <c r="C409" s="81"/>
      <c r="D409" s="81"/>
      <c r="E409" s="81"/>
    </row>
    <row r="410" spans="3:6" x14ac:dyDescent="0.2">
      <c r="C410" s="81"/>
      <c r="D410" s="81"/>
      <c r="E410" s="81"/>
    </row>
    <row r="411" spans="3:6" x14ac:dyDescent="0.2">
      <c r="C411" s="81"/>
      <c r="D411" s="81"/>
      <c r="E411" s="81"/>
    </row>
    <row r="412" spans="3:6" x14ac:dyDescent="0.2">
      <c r="C412" s="81"/>
      <c r="D412" s="81"/>
      <c r="E412" s="81"/>
    </row>
    <row r="413" spans="3:6" x14ac:dyDescent="0.2">
      <c r="C413" s="81"/>
      <c r="D413" s="81"/>
      <c r="E413" s="81"/>
    </row>
    <row r="414" spans="3:6" x14ac:dyDescent="0.2">
      <c r="C414" s="81"/>
      <c r="D414" s="81"/>
      <c r="E414" s="81"/>
    </row>
    <row r="415" spans="3:6" x14ac:dyDescent="0.2">
      <c r="C415" s="81"/>
      <c r="D415" s="81"/>
      <c r="E415" s="81"/>
    </row>
    <row r="416" spans="3:6" x14ac:dyDescent="0.2">
      <c r="C416" s="81"/>
      <c r="D416" s="81"/>
      <c r="E416" s="81"/>
    </row>
    <row r="417" spans="3:6" x14ac:dyDescent="0.2">
      <c r="C417" s="81"/>
      <c r="D417" s="81"/>
      <c r="E417" s="81"/>
    </row>
    <row r="418" spans="3:6" ht="15.75" x14ac:dyDescent="0.25">
      <c r="C418" s="81"/>
      <c r="D418" s="81"/>
      <c r="E418" s="81"/>
    </row>
    <row r="419" spans="3:6" ht="15.75" x14ac:dyDescent="0.25">
      <c r="C419" s="81"/>
      <c r="D419" s="81"/>
      <c r="E419" s="81"/>
    </row>
    <row r="420" spans="3:6" ht="15.75" x14ac:dyDescent="0.25">
      <c r="C420" s="81"/>
      <c r="D420" s="81"/>
      <c r="E420" s="81"/>
    </row>
    <row r="421" spans="3:6" ht="15.75" x14ac:dyDescent="0.25">
      <c r="C421" s="81"/>
      <c r="D421" s="81"/>
      <c r="E421" s="81"/>
    </row>
    <row r="422" spans="3:6" ht="15.75" x14ac:dyDescent="0.25">
      <c r="C422" s="81"/>
      <c r="D422" s="81"/>
      <c r="E422" s="81"/>
    </row>
    <row r="423" spans="3:6" ht="15.75" x14ac:dyDescent="0.25">
      <c r="C423" s="81"/>
      <c r="D423" s="81"/>
      <c r="E423" s="81"/>
    </row>
    <row r="424" spans="3:6" ht="15.75" x14ac:dyDescent="0.25">
      <c r="C424" s="81"/>
      <c r="D424" s="81"/>
      <c r="E424" s="81"/>
    </row>
    <row r="425" spans="3:6" ht="15.75" x14ac:dyDescent="0.25">
      <c r="C425" s="81"/>
      <c r="D425" s="81"/>
      <c r="E425" s="81"/>
    </row>
    <row r="426" spans="3:6" ht="15.75" x14ac:dyDescent="0.25">
      <c r="C426" s="81"/>
      <c r="D426" s="81"/>
      <c r="E426" s="81"/>
    </row>
    <row r="427" spans="3:6" ht="15.75" x14ac:dyDescent="0.25">
      <c r="C427" s="81"/>
      <c r="D427" s="81"/>
      <c r="E427" s="81"/>
    </row>
    <row r="428" spans="3:6" ht="15.75" x14ac:dyDescent="0.25">
      <c r="C428" s="81"/>
      <c r="D428" s="81"/>
      <c r="E428" s="81"/>
    </row>
    <row r="429" spans="3:6" ht="15.75" x14ac:dyDescent="0.25">
      <c r="C429" s="81"/>
      <c r="D429" s="81"/>
      <c r="E429" s="81"/>
    </row>
  </sheetData>
  <sheetProtection algorithmName="SHA-512" hashValue="PUECPG7wUIYg3IBMBGng+ZbVNW7mLLn4FMugFdZL4dUQyeNqd51X3b7tfoyRSTTnOJ4Yjfy7rjz9pGb3Wznrsg==" saltValue="YpGiM5fkO7SMdk8rq5SCXw==" spinCount="100000" sheet="1" objects="1" scenarios="1"/>
  <sortState xmlns:xlrd2="http://schemas.microsoft.com/office/spreadsheetml/2017/richdata2" ref="A2:B231">
    <sortCondition ref="A1"/>
  </sortState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Plan1</vt:lpstr>
      <vt:lpstr>Plan2</vt:lpstr>
      <vt:lpstr>Plan1!Area_de_impressao</vt:lpstr>
      <vt:lpstr>try</vt:lpstr>
    </vt:vector>
  </TitlesOfParts>
  <Company>Default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Users</dc:creator>
  <cp:lastModifiedBy>Pichau</cp:lastModifiedBy>
  <cp:lastPrinted>2026-04-22T19:18:35Z</cp:lastPrinted>
  <dcterms:created xsi:type="dcterms:W3CDTF">2007-01-29T07:32:47Z</dcterms:created>
  <dcterms:modified xsi:type="dcterms:W3CDTF">2026-07-29T12:41:38Z</dcterms:modified>
</cp:coreProperties>
</file>